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⚙️ Inputs" sheetId="2" state="visible" r:id="rId4"/>
    <sheet name="💵 Cash Flow" sheetId="3" state="visible" r:id="rId5"/>
    <sheet name="💸 Tax Planner" sheetId="4" state="visible" r:id="rId6"/>
    <sheet name="💼 Investments" sheetId="5" state="visible" r:id="rId7"/>
    <sheet name="🏦 Retirement" sheetId="6" state="visible" r:id="rId8"/>
    <sheet name="📊 ESOP Planner" sheetId="7" state="visible" r:id="rId9"/>
    <sheet name="🛡️ Insurance Audit" sheetId="8" state="visible" r:id="rId10"/>
    <sheet name="✅ 90-Day Pla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After TDS deducted from startup salary. Enter 0 if bootstrapped.</t>
        </r>
      </text>
    </comment>
    <comment ref="C17" authorId="0">
      <text>
        <r>
          <rPr>
            <sz val="10"/>
            <rFont val="Arial"/>
            <family val="2"/>
          </rPr>
          <t xml:space="preserve">Car loan, education loan, personal loan EMIs</t>
        </r>
      </text>
    </comment>
    <comment ref="C34" authorId="0">
      <text>
        <r>
          <rPr>
            <sz val="10"/>
            <rFont val="Arial"/>
            <family val="2"/>
          </rPr>
          <t xml:space="preserve">0 if you have no personal policy</t>
        </r>
      </text>
    </comment>
    <comment ref="C36" authorId="0">
      <text>
        <r>
          <rPr>
            <sz val="10"/>
            <rFont val="Arial"/>
            <family val="2"/>
          </rPr>
          <t xml:space="preserve">For 80D deduction calculation</t>
        </r>
      </text>
    </comment>
    <comment ref="C46" authorId="0">
      <text>
        <r>
          <rPr>
            <sz val="10"/>
            <rFont val="Arial"/>
            <family val="2"/>
          </rPr>
          <t xml:space="preserve">Enter: Old or New</t>
        </r>
      </text>
    </comment>
    <comment ref="C47" authorId="0">
      <text>
        <r>
          <rPr>
            <sz val="10"/>
            <rFont val="Arial"/>
            <family val="2"/>
          </rPr>
          <t xml:space="preserve">Only if on salary; 0 if no HRA component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Monthly top-up until emergency fund is complete</t>
        </r>
      </text>
    </comment>
    <comment ref="C8" authorId="0">
      <text>
        <r>
          <rPr>
            <sz val="10"/>
            <rFont val="Arial"/>
            <family val="2"/>
          </rPr>
          <t xml:space="preserve">Monthly contribution</t>
        </r>
      </text>
    </comment>
    <comment ref="C9" authorId="0">
      <text>
        <r>
          <rPr>
            <sz val="10"/>
            <rFont val="Arial"/>
            <family val="2"/>
          </rPr>
          <t xml:space="preserve">Monthly contribution</t>
        </r>
      </text>
    </comment>
    <comment ref="C10" authorId="0">
      <text>
        <r>
          <rPr>
            <sz val="10"/>
            <rFont val="Arial"/>
            <family val="2"/>
          </rPr>
          <t xml:space="preserve">Monthly contribution</t>
        </r>
      </text>
    </comment>
    <comment ref="C11" authorId="0">
      <text>
        <r>
          <rPr>
            <sz val="10"/>
            <rFont val="Arial"/>
            <family val="2"/>
          </rPr>
          <t xml:space="preserve">Monthly contribution</t>
        </r>
      </text>
    </comment>
    <comment ref="C13" authorId="0">
      <text>
        <r>
          <rPr>
            <sz val="10"/>
            <rFont val="Arial"/>
            <family val="2"/>
          </rPr>
          <t xml:space="preserve">Direct plan | UTI / Nippon | 0.1% expense</t>
        </r>
      </text>
    </comment>
    <comment ref="C14" authorId="0">
      <text>
        <r>
          <rPr>
            <sz val="10"/>
            <rFont val="Arial"/>
            <family val="2"/>
          </rPr>
          <t xml:space="preserve">Direct plan | Parag Parikh | 0.6% expense</t>
        </r>
      </text>
    </comment>
    <comment ref="C15" authorId="0">
      <text>
        <r>
          <rPr>
            <sz val="10"/>
            <rFont val="Arial"/>
            <family val="2"/>
          </rPr>
          <t xml:space="preserve">Flexible; equity + debt mix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Enter your current cover amount</t>
        </r>
      </text>
    </comment>
    <comment ref="D8" authorId="0">
      <text>
        <r>
          <rPr>
            <sz val="10"/>
            <rFont val="Arial"/>
            <family val="2"/>
          </rPr>
          <t xml:space="preserve">Enter your current cover amount</t>
        </r>
      </text>
    </comment>
  </commentList>
</comments>
</file>

<file path=xl/sharedStrings.xml><?xml version="1.0" encoding="utf-8"?>
<sst xmlns="http://schemas.openxmlformats.org/spreadsheetml/2006/main" count="337" uniqueCount="289">
  <si>
    <t xml:space="preserve">🇮🇳  Indian Founder Personal Finance Planner</t>
  </si>
  <si>
    <t xml:space="preserve">Update your inputs on the '⚙️ Inputs' sheet — all numbers here update automatically</t>
  </si>
  <si>
    <t xml:space="preserve">  📋  FINANCIAL HEALTH SCORECARD</t>
  </si>
  <si>
    <t xml:space="preserve">Metric</t>
  </si>
  <si>
    <t xml:space="preserve">Value</t>
  </si>
  <si>
    <t xml:space="preserve">Status</t>
  </si>
  <si>
    <t xml:space="preserve">Benchmark</t>
  </si>
  <si>
    <t xml:space="preserve">Monthly Take-home (₹)</t>
  </si>
  <si>
    <t xml:space="preserve">—</t>
  </si>
  <si>
    <t xml:space="preserve">Monthly Burn (₹)</t>
  </si>
  <si>
    <t xml:space="preserve">Monthly Surplus / Deficit</t>
  </si>
  <si>
    <t xml:space="preserve">Savings Rate</t>
  </si>
  <si>
    <t xml:space="preserve">≥20%</t>
  </si>
  <si>
    <t xml:space="preserve">Emergency Fund (months)</t>
  </si>
  <si>
    <t xml:space="preserve">≥6 mo</t>
  </si>
  <si>
    <t xml:space="preserve">Personal Runway (months)</t>
  </si>
  <si>
    <t xml:space="preserve">≥12 mo</t>
  </si>
  <si>
    <t xml:space="preserve">EMI-to-Income Ratio</t>
  </si>
  <si>
    <t xml:space="preserve">&lt;25%</t>
  </si>
  <si>
    <t xml:space="preserve">Annual Tax Saving Available</t>
  </si>
  <si>
    <t xml:space="preserve">  💼  YOUR INVESTMENT STACK STATUS</t>
  </si>
  <si>
    <t xml:space="preserve">Layer</t>
  </si>
  <si>
    <t xml:space="preserve">Instrument</t>
  </si>
  <si>
    <t xml:space="preserve">Target/yr</t>
  </si>
  <si>
    <t xml:space="preserve">Invested/yr</t>
  </si>
  <si>
    <t xml:space="preserve">Gap</t>
  </si>
  <si>
    <t xml:space="preserve">🔴 Survival</t>
  </si>
  <si>
    <t xml:space="preserve">Emergency Fund (6× burn)</t>
  </si>
  <si>
    <t xml:space="preserve">🟡 Tax Shield</t>
  </si>
  <si>
    <t xml:space="preserve">PPF (Section 80C)</t>
  </si>
  <si>
    <t xml:space="preserve">NPS Tier 1 (80CCD 1B)</t>
  </si>
  <si>
    <t xml:space="preserve">Health Ins Premium (80D)</t>
  </si>
  <si>
    <t xml:space="preserve">🟢 Wealth</t>
  </si>
  <si>
    <t xml:space="preserve">Index Fund SIP (Nifty 50)</t>
  </si>
  <si>
    <t xml:space="preserve">Flexicap SIP</t>
  </si>
  <si>
    <t xml:space="preserve">  ⚡  QUICK ACTION ALERTS</t>
  </si>
  <si>
    <t xml:space="preserve">🔴 Emergency fund &lt; 3 months → Top priority before any investing</t>
  </si>
  <si>
    <t xml:space="preserve">🟡 PPF not maxed → Fill ₹1.5L before 5 April every year for EEE benefit</t>
  </si>
  <si>
    <t xml:space="preserve">🟡 NPS 80CCD(1B) unused → ₹50,000 saves ₹15,600 in tax (30% bracket)</t>
  </si>
  <si>
    <t xml:space="preserve">🔴 No personal health insurance → Buy before a medical event, not after</t>
  </si>
  <si>
    <t xml:space="preserve">🟡 Advance tax due → 15 Jun / 15 Sep / 15 Dec / 15 Mar (see Tax sheet)</t>
  </si>
  <si>
    <t xml:space="preserve">⚙️  Your Profile &amp; Inputs  [Edit BLUE cells only]</t>
  </si>
  <si>
    <t xml:space="preserve">Blue cells = your inputs | Yellow background = key inputs | All other sheets update automatically</t>
  </si>
  <si>
    <t xml:space="preserve">  👤  PERSONAL PROFILE</t>
  </si>
  <si>
    <t xml:space="preserve">Your Name</t>
  </si>
  <si>
    <t xml:space="preserve">Founder Name</t>
  </si>
  <si>
    <t xml:space="preserve">Age (years)</t>
  </si>
  <si>
    <t xml:space="preserve">City</t>
  </si>
  <si>
    <t xml:space="preserve">Bengaluru</t>
  </si>
  <si>
    <t xml:space="preserve">Dependents</t>
  </si>
  <si>
    <t xml:space="preserve">Spouse, 1 child</t>
  </si>
  <si>
    <t xml:space="preserve">  🏠  MONTHLY EXPENSES (₹)</t>
  </si>
  <si>
    <t xml:space="preserve">Rent / Home Loan EMI</t>
  </si>
  <si>
    <t xml:space="preserve">Food &amp; Groceries</t>
  </si>
  <si>
    <t xml:space="preserve">Transport</t>
  </si>
  <si>
    <t xml:space="preserve">Subscriptions &amp; Tools</t>
  </si>
  <si>
    <t xml:space="preserve">Other EMIs (loans etc.)</t>
  </si>
  <si>
    <t xml:space="preserve">Family / Parent Support</t>
  </si>
  <si>
    <t xml:space="preserve">Miscellaneous</t>
  </si>
  <si>
    <t xml:space="preserve">Total Monthly Burn (₹)</t>
  </si>
  <si>
    <t xml:space="preserve">  💰  SAVINGS &amp; EXISTING INVESTMENTS (₹)</t>
  </si>
  <si>
    <t xml:space="preserve">Cash in Savings Account</t>
  </si>
  <si>
    <t xml:space="preserve">Fixed Deposits (FDs)</t>
  </si>
  <si>
    <t xml:space="preserve">Liquid Mutual Funds</t>
  </si>
  <si>
    <t xml:space="preserve">Total Liquid Savings</t>
  </si>
  <si>
    <t xml:space="preserve">PPF Balance</t>
  </si>
  <si>
    <t xml:space="preserve">NPS Balance</t>
  </si>
  <si>
    <t xml:space="preserve">Mutual Fund Portfolio</t>
  </si>
  <si>
    <t xml:space="preserve">EPF (from prior job)</t>
  </si>
  <si>
    <t xml:space="preserve">Total Investments (ex-equity)</t>
  </si>
  <si>
    <t xml:space="preserve">  🛡️  INSURANCE</t>
  </si>
  <si>
    <t xml:space="preserve">Health Insurance Cover (₹)</t>
  </si>
  <si>
    <t xml:space="preserve">Term Life Cover (₹)</t>
  </si>
  <si>
    <t xml:space="preserve">Health Premium Paid/yr (₹)</t>
  </si>
  <si>
    <t xml:space="preserve">  🚀  STARTUP &amp; EQUITY</t>
  </si>
  <si>
    <t xml:space="preserve">Startup Stage</t>
  </si>
  <si>
    <t xml:space="preserve">Bootstrapped</t>
  </si>
  <si>
    <t xml:space="preserve">Your Equity Stake (%)</t>
  </si>
  <si>
    <t xml:space="preserve">ESOPs Granted (shares)</t>
  </si>
  <si>
    <t xml:space="preserve">ESOP Strike Price (₹)</t>
  </si>
  <si>
    <t xml:space="preserve">ESOP FMV Today (₹)</t>
  </si>
  <si>
    <t xml:space="preserve">  🧾  TAX DETAILS</t>
  </si>
  <si>
    <t xml:space="preserve">Tax Regime</t>
  </si>
  <si>
    <t xml:space="preserve">Old</t>
  </si>
  <si>
    <t xml:space="preserve">HRA Received / yr (₹)</t>
  </si>
  <si>
    <t xml:space="preserve">Home Loan Interest / yr</t>
  </si>
  <si>
    <t xml:space="preserve">LTA Claimed / yr (₹)</t>
  </si>
  <si>
    <t xml:space="preserve">💵  Monthly Cash Flow Planner  (12-Month View)</t>
  </si>
  <si>
    <t xml:space="preserve">Category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</si>
  <si>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</si>
  <si>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</si>
  <si>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</si>
  <si>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</si>
  <si>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</si>
  <si>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</si>
  <si>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</si>
  <si>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</si>
  <si>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</si>
  <si>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</si>
  <si>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</si>
  <si>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</si>
  <si>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INCOME</t>
  </si>
  <si>
    <t xml:space="preserve">  Take-home Salary</t>
  </si>
  <si>
    <t xml:space="preserve">  Other Income</t>
  </si>
  <si>
    <t xml:space="preserve">Total Income</t>
  </si>
  <si>
    <t xml:space="preserve">EXPENSES</t>
  </si>
  <si>
    <t xml:space="preserve">  Rent / Home EMI</t>
  </si>
  <si>
    <t xml:space="preserve">  Food &amp; Groceries</t>
  </si>
  <si>
    <t xml:space="preserve">  Transport</t>
  </si>
  <si>
    <t xml:space="preserve">  Subscriptions</t>
  </si>
  <si>
    <t xml:space="preserve">  Other EMIs</t>
  </si>
  <si>
    <t xml:space="preserve">  Family Support</t>
  </si>
  <si>
    <t xml:space="preserve">  Miscellaneous</t>
  </si>
  <si>
    <t xml:space="preserve">Total Expenses</t>
  </si>
  <si>
    <t xml:space="preserve">NET SURPLUS / (DEFICIT)</t>
  </si>
  <si>
    <t xml:space="preserve">Cumulative Cash Position</t>
  </si>
  <si>
    <t xml:space="preserve">  📊  KEY METRICS</t>
  </si>
  <si>
    <t xml:space="preserve">Monthly Savings Rate</t>
  </si>
  <si>
    <t xml:space="preserve">Emergency Fund Target (₹)</t>
  </si>
  <si>
    <t xml:space="preserve">Emergency Fund Current (₹)</t>
  </si>
  <si>
    <t xml:space="preserve">Emergency Fund Gap (₹)</t>
  </si>
  <si>
    <t xml:space="preserve">💸  Tax Planner  —  Old vs New Regime Comparison (FY 2024-25)</t>
  </si>
  <si>
    <t xml:space="preserve">Component</t>
  </si>
  <si>
    <t xml:space="preserve">Old Regime</t>
  </si>
  <si>
    <t xml:space="preserve">New Regime</t>
  </si>
  <si>
    <t xml:space="preserve">Difference (Old-New)</t>
  </si>
  <si>
    <t xml:space="preserve">Gross Annual Income (Salary)</t>
  </si>
  <si>
    <t xml:space="preserve">  DEDUCTIONS (Old Regime Only)</t>
  </si>
  <si>
    <t xml:space="preserve">  Standard Deduction (Sec 16)</t>
  </si>
  <si>
    <t xml:space="preserve">  HRA Exemption</t>
  </si>
  <si>
    <t xml:space="preserve">  80C: PPF + ELSS + LIC + EPF</t>
  </si>
  <si>
    <t xml:space="preserve">  80CCD(1B): NPS Tier 1</t>
  </si>
  <si>
    <t xml:space="preserve">  80D: Health Ins Premium</t>
  </si>
  <si>
    <t xml:space="preserve">  Home Loan Interest (Sec 24b)</t>
  </si>
  <si>
    <t xml:space="preserve">  LTA</t>
  </si>
  <si>
    <t xml:space="preserve">Total Deductions (Old Regime)</t>
  </si>
  <si>
    <t xml:space="preserve">Taxable Income</t>
  </si>
  <si>
    <t xml:space="preserve">  TAX CALCULATION (FY 2024-25 Slabs)</t>
  </si>
  <si>
    <t xml:space="preserve">  Income Tax (before cess)</t>
  </si>
  <si>
    <t xml:space="preserve">  Rebate u/s 87A</t>
  </si>
  <si>
    <t xml:space="preserve">  Health &amp; Education Cess (4%)</t>
  </si>
  <si>
    <t xml:space="preserve">TOTAL TAX PAYABLE</t>
  </si>
  <si>
    <t xml:space="preserve">  💡  UNUSED TAX-SAVING OPPORTUNITIES</t>
  </si>
  <si>
    <t xml:space="preserve">  NPS 80CCD(1B) unused room</t>
  </si>
  <si>
    <t xml:space="preserve">  80C unused room</t>
  </si>
  <si>
    <t xml:space="preserve">  80D unused room (self)</t>
  </si>
  <si>
    <t xml:space="preserve">  Total potential tax saving</t>
  </si>
  <si>
    <t xml:space="preserve">  📅  ADVANCE TAX CALENDAR (Mark in your diary!)</t>
  </si>
  <si>
    <t xml:space="preserve">Instalment</t>
  </si>
  <si>
    <t xml:space="preserve">Due Date</t>
  </si>
  <si>
    <t xml:space="preserve">% of Annual Tax</t>
  </si>
  <si>
    <t xml:space="preserve">Estimated Amount</t>
  </si>
  <si>
    <t xml:space="preserve">1st Instalment</t>
  </si>
  <si>
    <t xml:space="preserve">15 June 2025</t>
  </si>
  <si>
    <t xml:space="preserve">15%</t>
  </si>
  <si>
    <t xml:space="preserve">2nd Instalment</t>
  </si>
  <si>
    <t xml:space="preserve">15 September 2025</t>
  </si>
  <si>
    <t xml:space="preserve">45%</t>
  </si>
  <si>
    <t xml:space="preserve">3rd Instalment</t>
  </si>
  <si>
    <t xml:space="preserve">15 December 2025</t>
  </si>
  <si>
    <t xml:space="preserve">75%</t>
  </si>
  <si>
    <t xml:space="preserve">4th Instalment</t>
  </si>
  <si>
    <t xml:space="preserve">15 March 2026</t>
  </si>
  <si>
    <t xml:space="preserve">100%</t>
  </si>
  <si>
    <t xml:space="preserve">💼  Investment Tracker &amp; Planner</t>
  </si>
  <si>
    <t xml:space="preserve">Monthly SIP / Contrib</t>
  </si>
  <si>
    <t xml:space="preserve">Annual Amount</t>
  </si>
  <si>
    <t xml:space="preserve">Current Balance</t>
  </si>
  <si>
    <t xml:space="preserve">Target / Year</t>
  </si>
  <si>
    <t xml:space="preserve">  🔴  LAYER 1 — SURVIVAL (Emergency Fund)</t>
  </si>
  <si>
    <t xml:space="preserve">  Liquid Mutual Fund (Emergency)</t>
  </si>
  <si>
    <t xml:space="preserve">  🟡  LAYER 2 — TAX SHIELD</t>
  </si>
  <si>
    <t xml:space="preserve">  PPF (Section 80C)</t>
  </si>
  <si>
    <t xml:space="preserve">  NPS Tier 1 (80CCD 1B)</t>
  </si>
  <si>
    <t xml:space="preserve">  ELSS SIP (80C remainder)</t>
  </si>
  <si>
    <t xml:space="preserve">  Health Insurance Premium</t>
  </si>
  <si>
    <t xml:space="preserve">  🟢  LAYER 3 — WEALTH BUILDING</t>
  </si>
  <si>
    <t xml:space="preserve">  Nifty 50 Index Fund SIP</t>
  </si>
  <si>
    <t xml:space="preserve">Direct plan | UTI / Nippon | 0.1% expense</t>
  </si>
  <si>
    <t xml:space="preserve">  Flexicap Fund SIP</t>
  </si>
  <si>
    <t xml:space="preserve">Direct plan | Parag Parikh | 0.6% expense</t>
  </si>
  <si>
    <t xml:space="preserve">  NPS Tier 2 (no lock-in)</t>
  </si>
  <si>
    <t xml:space="preserve">Flexible; equity + debt mix</t>
  </si>
  <si>
    <t xml:space="preserve">Total Monthly Investment</t>
  </si>
  <si>
    <t xml:space="preserve">  📈  SIP COMPOUNDING PROJECTION</t>
  </si>
  <si>
    <t xml:space="preserve">Year</t>
  </si>
  <si>
    <t xml:space="preserve">Monthly SIP</t>
  </si>
  <si>
    <t xml:space="preserve">CAGR Assumed</t>
  </si>
  <si>
    <t xml:space="preserve">Corpus (Conservative 10%)</t>
  </si>
  <si>
    <t xml:space="preserve">Corpus (Optimistic 13%)</t>
  </si>
  <si>
    <t xml:space="preserve">Year 1</t>
  </si>
  <si>
    <t xml:space="preserve">10%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</si>
  <si>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</si>
  <si>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</si>
  <si>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</si>
  <si>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</si>
  <si>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</si>
  <si>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</si>
  <si>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</si>
  <si>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</si>
  <si>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</si>
  <si>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🏦  Retirement Corpus Planner</t>
  </si>
  <si>
    <t xml:space="preserve">  ⚙️  RETIREMENT ASSUMPTIONS</t>
  </si>
  <si>
    <t xml:space="preserve">Current Age</t>
  </si>
  <si>
    <t xml:space="preserve">Target Retirement Age</t>
  </si>
  <si>
    <t xml:space="preserve">Years to Retirement</t>
  </si>
  <si>
    <t xml:space="preserve">Current Monthly Expenses (₹)</t>
  </si>
  <si>
    <t xml:space="preserve">Inflation Rate (p.a.)</t>
  </si>
  <si>
    <t xml:space="preserve">Expected Investment Return</t>
  </si>
  <si>
    <t xml:space="preserve">Safe Withdrawal Rate</t>
  </si>
  <si>
    <t xml:space="preserve">  📊  CORPUS REQUIREMENTS</t>
  </si>
  <si>
    <t xml:space="preserve">Monthly Expense at Retirement (inflation-adj)</t>
  </si>
  <si>
    <t xml:space="preserve">Annual Expense at Retirement</t>
  </si>
  <si>
    <t xml:space="preserve">Required Corpus (25× Rule)</t>
  </si>
  <si>
    <t xml:space="preserve">  💰  CURRENT TRAJECTORY</t>
  </si>
  <si>
    <t xml:space="preserve">Existing Corpus (all investments today)</t>
  </si>
  <si>
    <t xml:space="preserve">FV of Existing Corpus at Retirement (12%)</t>
  </si>
  <si>
    <t xml:space="preserve">Additional Corpus Needed</t>
  </si>
  <si>
    <t xml:space="preserve">Monthly SIP Needed to Fill Gap</t>
  </si>
  <si>
    <t xml:space="preserve">You are currently investing (monthly)</t>
  </si>
  <si>
    <t xml:space="preserve">Monthly Investment Gap</t>
  </si>
  <si>
    <t xml:space="preserve">  🗓️  CORPUS MILESTONE PROJECTIONS</t>
  </si>
  <si>
    <t xml:space="preserve">Age</t>
  </si>
  <si>
    <t xml:space="preserve">Projected Corpus (at current SIP, 12%)</t>
  </si>
  <si>
    <t xml:space="preserve">Target by That Age</t>
  </si>
  <si>
    <t xml:space="preserve">📊  ESOP &amp; Equity Exit Planner (Unlisted Company)</t>
  </si>
  <si>
    <t xml:space="preserve">  ⚙️  YOUR ESOP DETAILS</t>
  </si>
  <si>
    <t xml:space="preserve">Strike / Exercise Price (₹)</t>
  </si>
  <si>
    <t xml:space="preserve">FMV per Share Today (₹)</t>
  </si>
  <si>
    <t xml:space="preserve">Your Tax Slab (%)</t>
  </si>
  <si>
    <t xml:space="preserve">Holding Period after Exercise (months)</t>
  </si>
  <si>
    <t xml:space="preserve">  🧾  TAX AT EXERCISE (Perquisite Tax)</t>
  </si>
  <si>
    <t xml:space="preserve">Perquisite Value per Share (FMV − Strike)</t>
  </si>
  <si>
    <t xml:space="preserve">Total Perquisite (all shares)</t>
  </si>
  <si>
    <t xml:space="preserve">Tax at Exercise (at your slab rate)</t>
  </si>
  <si>
    <t xml:space="preserve">Net Value after Exercise Tax</t>
  </si>
  <si>
    <t xml:space="preserve">  🚀  EXIT SCENARIO MODELLER</t>
  </si>
  <si>
    <t xml:space="preserve">Company Exit Valuation</t>
  </si>
  <si>
    <t xml:space="preserve">Your Stake (from Inputs)</t>
  </si>
  <si>
    <t xml:space="preserve">Pre-tax Value</t>
  </si>
  <si>
    <t xml:space="preserve">Tax (LTCG 20% unlisted)</t>
  </si>
  <si>
    <t xml:space="preserve">Net Proceeds</t>
  </si>
  <si>
    <t xml:space="preserve">⚠️  Note: LTCG on unlisted shares = 20% with indexation (held ≥24 months). STCG = slab rate (held &lt;24 months). Exercise timing significantly affects tax. Consult your CA.</t>
  </si>
  <si>
    <t xml:space="preserve">🛡️  Insurance Coverage Audit</t>
  </si>
  <si>
    <t xml:space="preserve">Insurance Type</t>
  </si>
  <si>
    <t xml:space="preserve">Required Cover</t>
  </si>
  <si>
    <t xml:space="preserve">You Have</t>
  </si>
  <si>
    <t xml:space="preserve">Action Required</t>
  </si>
  <si>
    <t xml:space="preserve">Health Insurance</t>
  </si>
  <si>
    <t xml:space="preserve">Term Life Insurance</t>
  </si>
  <si>
    <t xml:space="preserve">Personal Accident</t>
  </si>
  <si>
    <t xml:space="preserve">5000000</t>
  </si>
  <si>
    <t xml:space="preserve">Critical Illness</t>
  </si>
  <si>
    <t xml:space="preserve">2500000</t>
  </si>
  <si>
    <t xml:space="preserve">  💰  PREMIUM BENCHMARKS (Annual, Online Direct Purchase)</t>
  </si>
  <si>
    <t xml:space="preserve">Policy Type</t>
  </si>
  <si>
    <t xml:space="preserve">Cover Amount</t>
  </si>
  <si>
    <t xml:space="preserve">Age Band</t>
  </si>
  <si>
    <t xml:space="preserve">Approx Annual Premium</t>
  </si>
  <si>
    <t xml:space="preserve">80D Deductible</t>
  </si>
  <si>
    <t xml:space="preserve">Health Floater</t>
  </si>
  <si>
    <t xml:space="preserve">₹10 Lakh</t>
  </si>
  <si>
    <t xml:space="preserve">30–35</t>
  </si>
  <si>
    <t xml:space="preserve">₹12,000–18,000</t>
  </si>
  <si>
    <t xml:space="preserve">Yes (₹25,000 self)</t>
  </si>
  <si>
    <t xml:space="preserve">₹20 Lakh</t>
  </si>
  <si>
    <t xml:space="preserve">₹18,000–28,000</t>
  </si>
  <si>
    <t xml:space="preserve">Term Life</t>
  </si>
  <si>
    <t xml:space="preserve">₹1 Crore</t>
  </si>
  <si>
    <t xml:space="preserve">28–32</t>
  </si>
  <si>
    <t xml:space="preserve">₹8,000–12,000</t>
  </si>
  <si>
    <t xml:space="preserve">Yes (u/s 80C)</t>
  </si>
  <si>
    <t xml:space="preserve">₹2 Crore</t>
  </si>
  <si>
    <t xml:space="preserve">₹14,000–20,000</t>
  </si>
  <si>
    <t xml:space="preserve">₹25 Lakh</t>
  </si>
  <si>
    <t xml:space="preserve">Any</t>
  </si>
  <si>
    <t xml:space="preserve">₹2,500–4,000</t>
  </si>
  <si>
    <t xml:space="preserve">No</t>
  </si>
  <si>
    <t xml:space="preserve">✅  90-Day Financial Action Plan</t>
  </si>
  <si>
    <t xml:space="preserve">✓</t>
  </si>
  <si>
    <t xml:space="preserve">Action</t>
  </si>
  <si>
    <t xml:space="preserve">Why It Matters</t>
  </si>
  <si>
    <t xml:space="preserve">Deadline</t>
  </si>
  <si>
    <t xml:space="preserve">CA/RIA Needed?</t>
  </si>
  <si>
    <t xml:space="preserve">  WEEK 1 — SURVIVAL FOUNDATION</t>
  </si>
  <si>
    <t xml:space="preserve">  </t>
  </si>
  <si>
    <t xml:space="preserve">  MONTH 1 — TAX &amp; INSURANCE</t>
  </si>
  <si>
    <t xml:space="preserve">  MONTH 2 — RETIREMENT FOUNDATIONS</t>
  </si>
  <si>
    <t xml:space="preserve">  MONTH 3 — OPTIMISE &amp;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</si>
</sst>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0.0&quot; mo&quot;"/>
    <numFmt numFmtId="168" formatCode="@"/>
    <numFmt numFmtId="169" formatCode="#,##0"/>
    <numFmt numFmtId="170" formatCode="#,##0.0"/>
    <numFmt numFmtId="171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6B3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1F4E79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1F4E79"/>
      </patternFill>
    </fill>
    <fill>
      <patternFill patternType="solid">
        <fgColor rgb="FF0E6B6B"/>
        <bgColor rgb="FF1A6B3C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C95E1E"/>
        <bgColor rgb="FFE07B39"/>
      </patternFill>
    </fill>
    <fill>
      <patternFill patternType="solid">
        <fgColor rgb="FFFFF3CD"/>
        <bgColor rgb="FFF2F4F7"/>
      </patternFill>
    </fill>
    <fill>
      <patternFill patternType="solid">
        <fgColor rgb="FFD5D8DC"/>
        <bgColor rgb="FFF2F4F7"/>
      </patternFill>
    </fill>
    <fill>
      <patternFill patternType="solid">
        <fgColor rgb="FF1A6B3C"/>
        <bgColor rgb="FF0E6B6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E6B6B"/>
      <rgbColor rgb="FFBBBBBB"/>
      <rgbColor rgb="FF888888"/>
      <rgbColor rgb="FF9999FF"/>
      <rgbColor rgb="FF8E44AD"/>
      <rgbColor rgb="FFFFF3CD"/>
      <rgbColor rgb="FFF2F4F7"/>
      <rgbColor rgb="FF660066"/>
      <rgbColor rgb="FFE07B39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1A6B3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5E1E"/>
      <rgbColor rgb="FF777777"/>
      <rgbColor rgb="FF969696"/>
      <rgbColor rgb="FF1B3A6B"/>
      <rgbColor rgb="FF2E86AB"/>
      <rgbColor rgb="FF003300"/>
      <rgbColor rgb="FF333300"/>
      <rgbColor rgb="FFC0392B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B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18"/>
    <col collapsed="false" customWidth="true" hidden="false" outlineLevel="0" max="7" min="7" style="1" width="3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</row>
    <row r="5" customFormat="false" ht="7.5" hidden="false" customHeight="true" outlineLevel="0" collapsed="false"/>
    <row r="6" customFormat="false" ht="19.5" hidden="false" customHeight="true" outlineLevel="0" collapsed="false">
      <c r="B6" s="4" t="s">
        <v>2</v>
      </c>
      <c r="C6" s="4"/>
      <c r="D6" s="4"/>
      <c r="E6" s="4"/>
      <c r="F6" s="4"/>
    </row>
    <row r="7" customFormat="false" ht="21.7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</row>
    <row r="8" customFormat="false" ht="18" hidden="false" customHeight="true" outlineLevel="0" collapsed="false">
      <c r="B8" s="6" t="s">
        <v>7</v>
      </c>
      <c r="C8" s="7" t="n">
        <f aca="false">'⚙️ Inputs'!C7</f>
        <v>80000</v>
      </c>
      <c r="D8" s="8" t="s">
        <v>8</v>
      </c>
      <c r="E8" s="9"/>
    </row>
    <row r="9" customFormat="false" ht="18" hidden="false" customHeight="true" outlineLevel="0" collapsed="false">
      <c r="B9" s="6" t="s">
        <v>9</v>
      </c>
      <c r="C9" s="7" t="n">
        <f aca="false">'⚙️ Inputs'!C14</f>
        <v>8000</v>
      </c>
      <c r="D9" s="8" t="s">
        <v>8</v>
      </c>
      <c r="E9" s="9"/>
    </row>
    <row r="10" customFormat="false" ht="18" hidden="false" customHeight="true" outlineLevel="0" collapsed="false">
      <c r="B10" s="6" t="s">
        <v>10</v>
      </c>
      <c r="C10" s="7" t="n">
        <f aca="false">'⚙️ Inputs'!C7-'⚙️ Inputs'!C14</f>
        <v>72000</v>
      </c>
      <c r="D10" s="10" t="str">
        <f aca="false">IF('⚙️ Inputs'!C7-'⚙️ Inputs'!C14&gt;=0,"✅ Surplus","🔴 Deficit")</f>
        <v>✅ Surplus</v>
      </c>
      <c r="E10" s="9"/>
    </row>
    <row r="11" customFormat="false" ht="18" hidden="false" customHeight="true" outlineLevel="0" collapsed="false">
      <c r="B11" s="6" t="s">
        <v>11</v>
      </c>
      <c r="C11" s="11" t="n">
        <f aca="false">IF('⚙️ Inputs'!C7&gt;0,('⚙️ Inputs'!C7-'⚙️ Inputs'!C14)/'⚙️ Inputs'!C7,0)</f>
        <v>0.9</v>
      </c>
      <c r="D11" s="10" t="str">
        <f aca="false">IF(IF('⚙️ Inputs'!C7&gt;0,('⚙️ Inputs'!C7-'⚙️ Inputs'!C14)/'⚙️ Inputs'!C7,0)&gt;=0,"✅ ≥20%","🔴 &lt;10%")</f>
        <v>✅ ≥20%</v>
      </c>
      <c r="E11" s="9" t="s">
        <v>12</v>
      </c>
    </row>
    <row r="12" customFormat="false" ht="18" hidden="false" customHeight="true" outlineLevel="0" collapsed="false">
      <c r="B12" s="6" t="s">
        <v>13</v>
      </c>
      <c r="C12" s="12" t="n">
        <f aca="false">IF('⚙️ Inputs'!C14&gt;0,'⚙️ Inputs'!C20/'⚙️ Inputs'!C14,0)</f>
        <v>6.25</v>
      </c>
      <c r="D12" s="10" t="str">
        <f aca="false">IF(IF('⚙️ Inputs'!C14&gt;0,'⚙️ Inputs'!C20/'⚙️ Inputs'!C14,0)&gt;=0,"✅ ≥6 mo","🔴 &lt;3 mo")</f>
        <v>✅ ≥6 mo</v>
      </c>
      <c r="E12" s="9" t="s">
        <v>14</v>
      </c>
    </row>
    <row r="13" customFormat="false" ht="18" hidden="false" customHeight="true" outlineLevel="0" collapsed="false">
      <c r="B13" s="6" t="s">
        <v>15</v>
      </c>
      <c r="C13" s="12" t="n">
        <f aca="false">IF(('⚙️ Inputs'!C14-'⚙️ Inputs'!C7)&gt;0,'⚙️ Inputs'!C20/('⚙️ Inputs'!C14-'⚙️ Inputs'!C7),99)</f>
        <v>99</v>
      </c>
      <c r="D13" s="10" t="str">
        <f aca="false">IF(IF(('⚙️ Inputs'!C14-'⚙️ Inputs'!C7)&gt;0,'⚙️ Inputs'!C20/('⚙️ Inputs'!C14-'⚙️ Inputs'!C7),99)&gt;=0,"✅ ≥12 mo","🔴 &lt;6 mo")</f>
        <v>✅ ≥12 mo</v>
      </c>
      <c r="E13" s="9" t="s">
        <v>16</v>
      </c>
    </row>
    <row r="14" customFormat="false" ht="18" hidden="false" customHeight="true" outlineLevel="0" collapsed="false">
      <c r="B14" s="6" t="s">
        <v>17</v>
      </c>
      <c r="C14" s="11" t="n">
        <f aca="false">IF('⚙️ Inputs'!C7&gt;0,'⚙️ Inputs'!C17/'⚙️ Inputs'!C7,0)</f>
        <v>0</v>
      </c>
      <c r="D14" s="10" t="str">
        <f aca="false">IF(IF('⚙️ Inputs'!C7&gt;0,'⚙️ Inputs'!C17/'⚙️ Inputs'!C7,0)&gt;=0,"✅ &lt;25%","🔴 &gt;40%")</f>
        <v>✅ &lt;25%</v>
      </c>
      <c r="E14" s="9" t="s">
        <v>18</v>
      </c>
    </row>
    <row r="15" customFormat="false" ht="18" hidden="false" customHeight="true" outlineLevel="0" collapsed="false">
      <c r="B15" s="6" t="s">
        <v>19</v>
      </c>
      <c r="C15" s="7" t="str">
        <f aca="false">'💸 Tax Planner'!C38</f>
        <v>15 September 2025</v>
      </c>
      <c r="D15" s="8" t="s">
        <v>8</v>
      </c>
      <c r="E15" s="9"/>
    </row>
    <row r="17" customFormat="false" ht="7.5" hidden="false" customHeight="true" outlineLevel="0" collapsed="false"/>
    <row r="18" customFormat="false" ht="19.5" hidden="false" customHeight="true" outlineLevel="0" collapsed="false">
      <c r="B18" s="4" t="s">
        <v>20</v>
      </c>
      <c r="C18" s="4"/>
      <c r="D18" s="4"/>
      <c r="E18" s="4"/>
      <c r="F18" s="4"/>
    </row>
    <row r="19" customFormat="false" ht="18" hidden="false" customHeight="true" outlineLevel="0" collapsed="false">
      <c r="B19" s="5" t="s">
        <v>21</v>
      </c>
      <c r="C19" s="5" t="s">
        <v>22</v>
      </c>
      <c r="D19" s="5" t="s">
        <v>23</v>
      </c>
      <c r="E19" s="5" t="s">
        <v>24</v>
      </c>
      <c r="F19" s="5" t="s">
        <v>25</v>
      </c>
    </row>
    <row r="20" customFormat="false" ht="16.5" hidden="false" customHeight="true" outlineLevel="0" collapsed="false">
      <c r="B20" s="13" t="s">
        <v>26</v>
      </c>
      <c r="C20" s="14" t="s">
        <v>27</v>
      </c>
      <c r="D20" s="15" t="n">
        <f aca="false">'⚙️ Inputs'!C14*6</f>
        <v>48000</v>
      </c>
      <c r="E20" s="16" t="n">
        <f aca="false">'⚙️ Inputs'!C20</f>
        <v>50000</v>
      </c>
      <c r="F20" s="17" t="n">
        <f aca="false">D20-E20</f>
        <v>-2000</v>
      </c>
    </row>
    <row r="21" customFormat="false" ht="16.5" hidden="false" customHeight="true" outlineLevel="0" collapsed="false">
      <c r="B21" s="18" t="s">
        <v>28</v>
      </c>
      <c r="C21" s="19" t="s">
        <v>29</v>
      </c>
      <c r="D21" s="20" t="n">
        <f aca="false">150000</f>
        <v>150000</v>
      </c>
      <c r="E21" s="21" t="n">
        <f aca="false">'💼 Investments'!C8</f>
        <v>0</v>
      </c>
      <c r="F21" s="22" t="n">
        <f aca="false">D21-E21</f>
        <v>150000</v>
      </c>
    </row>
    <row r="22" customFormat="false" ht="16.5" hidden="false" customHeight="true" outlineLevel="0" collapsed="false">
      <c r="B22" s="13" t="s">
        <v>28</v>
      </c>
      <c r="C22" s="14" t="s">
        <v>30</v>
      </c>
      <c r="D22" s="15" t="n">
        <f aca="false">50000</f>
        <v>50000</v>
      </c>
      <c r="E22" s="16" t="n">
        <f aca="false">'💼 Investments'!C9</f>
        <v>0</v>
      </c>
      <c r="F22" s="17" t="n">
        <f aca="false">D22-E22</f>
        <v>50000</v>
      </c>
    </row>
    <row r="23" customFormat="false" ht="16.5" hidden="false" customHeight="true" outlineLevel="0" collapsed="false">
      <c r="B23" s="18" t="s">
        <v>28</v>
      </c>
      <c r="C23" s="19" t="s">
        <v>31</v>
      </c>
      <c r="D23" s="20" t="n">
        <f aca="false">25000</f>
        <v>25000</v>
      </c>
      <c r="E23" s="21" t="n">
        <f aca="false">'⚙️ Inputs'!C32</f>
        <v>0</v>
      </c>
      <c r="F23" s="22" t="n">
        <f aca="false">D23-E23</f>
        <v>25000</v>
      </c>
    </row>
    <row r="24" customFormat="false" ht="16.5" hidden="false" customHeight="true" outlineLevel="0" collapsed="false">
      <c r="B24" s="13" t="s">
        <v>32</v>
      </c>
      <c r="C24" s="14" t="s">
        <v>33</v>
      </c>
      <c r="D24" s="15" t="n">
        <f aca="false">'💼 Investments'!C12*12</f>
        <v>0</v>
      </c>
      <c r="E24" s="16" t="n">
        <f aca="false">'💼 Investments'!C12*12</f>
        <v>0</v>
      </c>
      <c r="F24" s="17" t="n">
        <f aca="false">0</f>
        <v>0</v>
      </c>
    </row>
    <row r="25" customFormat="false" ht="16.5" hidden="false" customHeight="true" outlineLevel="0" collapsed="false">
      <c r="B25" s="18" t="s">
        <v>32</v>
      </c>
      <c r="C25" s="19" t="s">
        <v>34</v>
      </c>
      <c r="D25" s="20" t="n">
        <f aca="false">'💼 Investments'!C13*12</f>
        <v>0</v>
      </c>
      <c r="E25" s="21" t="n">
        <f aca="false">'💼 Investments'!C13*12</f>
        <v>0</v>
      </c>
      <c r="F25" s="22" t="n">
        <f aca="false">0</f>
        <v>0</v>
      </c>
    </row>
    <row r="27" customFormat="false" ht="19.5" hidden="false" customHeight="true" outlineLevel="0" collapsed="false">
      <c r="B27" s="23" t="s">
        <v>35</v>
      </c>
      <c r="C27" s="23"/>
      <c r="D27" s="23"/>
      <c r="E27" s="23"/>
      <c r="F27" s="23"/>
    </row>
    <row r="28" customFormat="false" ht="16.5" hidden="false" customHeight="true" outlineLevel="0" collapsed="false">
      <c r="B28" s="24" t="s">
        <v>36</v>
      </c>
      <c r="C28" s="24"/>
      <c r="D28" s="24"/>
      <c r="E28" s="24"/>
      <c r="F28" s="24"/>
    </row>
    <row r="29" customFormat="false" ht="16.5" hidden="false" customHeight="true" outlineLevel="0" collapsed="false">
      <c r="B29" s="25" t="s">
        <v>37</v>
      </c>
      <c r="C29" s="25"/>
      <c r="D29" s="25"/>
      <c r="E29" s="25"/>
      <c r="F29" s="25"/>
    </row>
    <row r="30" customFormat="false" ht="16.5" hidden="false" customHeight="true" outlineLevel="0" collapsed="false">
      <c r="B30" s="24" t="s">
        <v>38</v>
      </c>
      <c r="C30" s="24"/>
      <c r="D30" s="24"/>
      <c r="E30" s="24"/>
      <c r="F30" s="24"/>
    </row>
    <row r="31" customFormat="false" ht="16.5" hidden="false" customHeight="true" outlineLevel="0" collapsed="false">
      <c r="B31" s="25" t="s">
        <v>39</v>
      </c>
      <c r="C31" s="25"/>
      <c r="D31" s="25"/>
      <c r="E31" s="25"/>
      <c r="F31" s="25"/>
    </row>
    <row r="32" customFormat="false" ht="16.5" hidden="false" customHeight="true" outlineLevel="0" collapsed="false">
      <c r="B32" s="24" t="s">
        <v>40</v>
      </c>
      <c r="C32" s="24"/>
      <c r="D32" s="24"/>
      <c r="E32" s="24"/>
      <c r="F32" s="24"/>
    </row>
  </sheetData>
  <mergeCells count="10">
    <mergeCell ref="B2:F2"/>
    <mergeCell ref="B3:F3"/>
    <mergeCell ref="B6:F6"/>
    <mergeCell ref="B18:F18"/>
    <mergeCell ref="B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39"/>
    <pageSetUpPr fitToPage="false"/>
  </sheetPr>
  <dimension ref="B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3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26" t="s">
        <v>41</v>
      </c>
      <c r="C2" s="26"/>
      <c r="D2" s="26"/>
    </row>
    <row r="3" customFormat="false" ht="15.75" hidden="false" customHeight="true" outlineLevel="0" collapsed="false">
      <c r="B3" s="27" t="s">
        <v>42</v>
      </c>
      <c r="C3" s="27"/>
      <c r="D3" s="27"/>
    </row>
    <row r="5" customFormat="false" ht="19.5" hidden="false" customHeight="true" outlineLevel="0" collapsed="false">
      <c r="B5" s="4" t="s">
        <v>43</v>
      </c>
      <c r="C5" s="4"/>
      <c r="D5" s="4"/>
    </row>
    <row r="6" customFormat="false" ht="18" hidden="false" customHeight="true" outlineLevel="0" collapsed="false">
      <c r="B6" s="6" t="s">
        <v>44</v>
      </c>
      <c r="C6" s="28" t="s">
        <v>45</v>
      </c>
    </row>
    <row r="7" customFormat="false" ht="18" hidden="false" customHeight="true" outlineLevel="0" collapsed="false">
      <c r="B7" s="6" t="s">
        <v>7</v>
      </c>
      <c r="C7" s="29" t="n">
        <v>80000</v>
      </c>
    </row>
    <row r="8" customFormat="false" ht="18" hidden="false" customHeight="true" outlineLevel="0" collapsed="false">
      <c r="B8" s="6" t="s">
        <v>46</v>
      </c>
      <c r="C8" s="30" t="n">
        <v>30</v>
      </c>
    </row>
    <row r="9" customFormat="false" ht="18" hidden="false" customHeight="true" outlineLevel="0" collapsed="false">
      <c r="B9" s="6" t="s">
        <v>47</v>
      </c>
      <c r="C9" s="28" t="s">
        <v>48</v>
      </c>
    </row>
    <row r="10" customFormat="false" ht="18" hidden="false" customHeight="true" outlineLevel="0" collapsed="false">
      <c r="B10" s="6" t="s">
        <v>49</v>
      </c>
      <c r="C10" s="28" t="s">
        <v>50</v>
      </c>
    </row>
    <row r="12" customFormat="false" ht="19.5" hidden="false" customHeight="true" outlineLevel="0" collapsed="false">
      <c r="B12" s="4" t="s">
        <v>51</v>
      </c>
      <c r="C12" s="4"/>
      <c r="D12" s="4"/>
    </row>
    <row r="13" customFormat="false" ht="18" hidden="false" customHeight="true" outlineLevel="0" collapsed="false">
      <c r="B13" s="6" t="s">
        <v>52</v>
      </c>
      <c r="C13" s="29" t="n">
        <v>25000</v>
      </c>
    </row>
    <row r="14" customFormat="false" ht="18" hidden="false" customHeight="true" outlineLevel="0" collapsed="false">
      <c r="B14" s="6" t="s">
        <v>53</v>
      </c>
      <c r="C14" s="29" t="n">
        <v>8000</v>
      </c>
    </row>
    <row r="15" customFormat="false" ht="18" hidden="false" customHeight="true" outlineLevel="0" collapsed="false">
      <c r="B15" s="6" t="s">
        <v>54</v>
      </c>
      <c r="C15" s="29" t="n">
        <v>4000</v>
      </c>
    </row>
    <row r="16" customFormat="false" ht="18" hidden="false" customHeight="true" outlineLevel="0" collapsed="false">
      <c r="B16" s="6" t="s">
        <v>55</v>
      </c>
      <c r="C16" s="29" t="n">
        <v>3000</v>
      </c>
    </row>
    <row r="17" customFormat="false" ht="18" hidden="false" customHeight="true" outlineLevel="0" collapsed="false">
      <c r="B17" s="6" t="s">
        <v>56</v>
      </c>
      <c r="C17" s="29" t="n">
        <v>0</v>
      </c>
    </row>
    <row r="18" customFormat="false" ht="18" hidden="false" customHeight="true" outlineLevel="0" collapsed="false">
      <c r="B18" s="6" t="s">
        <v>57</v>
      </c>
      <c r="C18" s="29" t="n">
        <v>5000</v>
      </c>
    </row>
    <row r="19" customFormat="false" ht="18" hidden="false" customHeight="true" outlineLevel="0" collapsed="false">
      <c r="B19" s="6" t="s">
        <v>58</v>
      </c>
      <c r="C19" s="29" t="n">
        <v>5000</v>
      </c>
    </row>
    <row r="20" customFormat="false" ht="15" hidden="false" customHeight="true" outlineLevel="0" collapsed="false">
      <c r="B20" s="31" t="s">
        <v>59</v>
      </c>
      <c r="C20" s="32" t="n">
        <f aca="false">SUM(C13:C19)</f>
        <v>50000</v>
      </c>
    </row>
    <row r="22" customFormat="false" ht="19.5" hidden="false" customHeight="true" outlineLevel="0" collapsed="false">
      <c r="B22" s="4" t="s">
        <v>60</v>
      </c>
      <c r="C22" s="4"/>
      <c r="D22" s="4"/>
    </row>
    <row r="23" customFormat="false" ht="18" hidden="false" customHeight="true" outlineLevel="0" collapsed="false">
      <c r="B23" s="6" t="s">
        <v>61</v>
      </c>
      <c r="C23" s="29" t="n">
        <v>200000</v>
      </c>
    </row>
    <row r="24" customFormat="false" ht="18" hidden="false" customHeight="true" outlineLevel="0" collapsed="false">
      <c r="B24" s="6" t="s">
        <v>62</v>
      </c>
      <c r="C24" s="29" t="n">
        <v>50000</v>
      </c>
    </row>
    <row r="25" customFormat="false" ht="18" hidden="false" customHeight="true" outlineLevel="0" collapsed="false">
      <c r="B25" s="6" t="s">
        <v>63</v>
      </c>
      <c r="C25" s="29" t="n">
        <v>0</v>
      </c>
    </row>
    <row r="26" customFormat="false" ht="15" hidden="false" customHeight="true" outlineLevel="0" collapsed="false">
      <c r="B26" s="31" t="s">
        <v>64</v>
      </c>
      <c r="C26" s="32" t="n">
        <f aca="false">SUM(C23:C25)</f>
        <v>250000</v>
      </c>
    </row>
    <row r="27" customFormat="false" ht="18" hidden="false" customHeight="true" outlineLevel="0" collapsed="false">
      <c r="B27" s="6" t="s">
        <v>65</v>
      </c>
      <c r="C27" s="29" t="n">
        <v>80000</v>
      </c>
    </row>
    <row r="28" customFormat="false" ht="18" hidden="false" customHeight="true" outlineLevel="0" collapsed="false">
      <c r="B28" s="6" t="s">
        <v>66</v>
      </c>
      <c r="C28" s="29" t="n">
        <v>0</v>
      </c>
    </row>
    <row r="29" customFormat="false" ht="18" hidden="false" customHeight="true" outlineLevel="0" collapsed="false">
      <c r="B29" s="6" t="s">
        <v>67</v>
      </c>
      <c r="C29" s="29" t="n">
        <v>50000</v>
      </c>
    </row>
    <row r="30" customFormat="false" ht="18" hidden="false" customHeight="true" outlineLevel="0" collapsed="false">
      <c r="B30" s="6" t="s">
        <v>68</v>
      </c>
      <c r="C30" s="29" t="n">
        <v>0</v>
      </c>
    </row>
    <row r="31" customFormat="false" ht="15" hidden="false" customHeight="true" outlineLevel="0" collapsed="false">
      <c r="B31" s="31" t="s">
        <v>69</v>
      </c>
      <c r="C31" s="32" t="n">
        <f aca="false">SUM(C27:C30)</f>
        <v>130000</v>
      </c>
    </row>
    <row r="33" customFormat="false" ht="19.5" hidden="false" customHeight="true" outlineLevel="0" collapsed="false">
      <c r="B33" s="4" t="s">
        <v>70</v>
      </c>
      <c r="C33" s="4"/>
      <c r="D33" s="4"/>
    </row>
    <row r="34" customFormat="false" ht="18" hidden="false" customHeight="true" outlineLevel="0" collapsed="false">
      <c r="B34" s="6" t="s">
        <v>71</v>
      </c>
      <c r="C34" s="29" t="n">
        <v>0</v>
      </c>
    </row>
    <row r="35" customFormat="false" ht="18" hidden="false" customHeight="true" outlineLevel="0" collapsed="false">
      <c r="B35" s="6" t="s">
        <v>72</v>
      </c>
      <c r="C35" s="29" t="n">
        <v>0</v>
      </c>
    </row>
    <row r="36" customFormat="false" ht="18" hidden="false" customHeight="true" outlineLevel="0" collapsed="false">
      <c r="B36" s="6" t="s">
        <v>73</v>
      </c>
      <c r="C36" s="29" t="n">
        <v>0</v>
      </c>
    </row>
    <row r="38" customFormat="false" ht="19.5" hidden="false" customHeight="true" outlineLevel="0" collapsed="false">
      <c r="B38" s="4" t="s">
        <v>74</v>
      </c>
      <c r="C38" s="4"/>
      <c r="D38" s="4"/>
    </row>
    <row r="39" customFormat="false" ht="18" hidden="false" customHeight="true" outlineLevel="0" collapsed="false">
      <c r="B39" s="6" t="s">
        <v>75</v>
      </c>
      <c r="C39" s="28" t="s">
        <v>76</v>
      </c>
    </row>
    <row r="40" customFormat="false" ht="18" hidden="false" customHeight="true" outlineLevel="0" collapsed="false">
      <c r="B40" s="6" t="s">
        <v>77</v>
      </c>
      <c r="C40" s="33" t="n">
        <v>0.5</v>
      </c>
    </row>
    <row r="41" customFormat="false" ht="18" hidden="false" customHeight="true" outlineLevel="0" collapsed="false">
      <c r="B41" s="6" t="s">
        <v>78</v>
      </c>
      <c r="C41" s="30" t="n">
        <v>0</v>
      </c>
    </row>
    <row r="42" customFormat="false" ht="18" hidden="false" customHeight="true" outlineLevel="0" collapsed="false">
      <c r="B42" s="6" t="s">
        <v>79</v>
      </c>
      <c r="C42" s="29" t="n">
        <v>0</v>
      </c>
    </row>
    <row r="43" customFormat="false" ht="18" hidden="false" customHeight="true" outlineLevel="0" collapsed="false">
      <c r="B43" s="6" t="s">
        <v>80</v>
      </c>
      <c r="C43" s="29" t="n">
        <v>0</v>
      </c>
    </row>
    <row r="45" customFormat="false" ht="19.5" hidden="false" customHeight="true" outlineLevel="0" collapsed="false">
      <c r="B45" s="4" t="s">
        <v>81</v>
      </c>
      <c r="C45" s="4"/>
      <c r="D45" s="4"/>
    </row>
    <row r="46" customFormat="false" ht="18" hidden="false" customHeight="true" outlineLevel="0" collapsed="false">
      <c r="B46" s="6" t="s">
        <v>82</v>
      </c>
      <c r="C46" s="28" t="s">
        <v>83</v>
      </c>
    </row>
    <row r="47" customFormat="false" ht="18" hidden="false" customHeight="true" outlineLevel="0" collapsed="false">
      <c r="B47" s="6" t="s">
        <v>84</v>
      </c>
      <c r="C47" s="29" t="n">
        <v>0</v>
      </c>
    </row>
    <row r="48" customFormat="false" ht="18" hidden="false" customHeight="true" outlineLevel="0" collapsed="false">
      <c r="B48" s="6" t="s">
        <v>85</v>
      </c>
      <c r="C48" s="29" t="n">
        <v>0</v>
      </c>
    </row>
    <row r="49" customFormat="false" ht="18" hidden="false" customHeight="true" outlineLevel="0" collapsed="false">
      <c r="B49" s="6" t="s">
        <v>86</v>
      </c>
      <c r="C49" s="29" t="n">
        <v>0</v>
      </c>
    </row>
  </sheetData>
  <mergeCells count="8">
    <mergeCell ref="B2:D2"/>
    <mergeCell ref="B3:D3"/>
    <mergeCell ref="B5:D5"/>
    <mergeCell ref="B12:D12"/>
    <mergeCell ref="B22:D22"/>
    <mergeCell ref="B33:D33"/>
    <mergeCell ref="B38:D38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B6B"/>
    <pageSetUpPr fitToPage="false"/>
  </sheetPr>
  <dimension ref="B2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8" min="3" style="1" width="16"/>
    <col collapsed="false" customWidth="true" hidden="false" outlineLevel="0" max="9" min="9" style="1" width="3"/>
  </cols>
  <sheetData>
    <row r="2" customFormat="false" ht="31.5" hidden="false" customHeight="true" outlineLevel="0" collapsed="false">
      <c r="B2" s="26" t="s">
        <v>87</v>
      </c>
      <c r="C2" s="26"/>
      <c r="D2" s="26"/>
      <c r="E2" s="26"/>
      <c r="F2" s="26"/>
      <c r="G2" s="26"/>
      <c r="H2" s="26"/>
    </row>
    <row r="4" customFormat="false" ht="21.75" hidden="false" customHeight="true" outlineLevel="0" collapsed="false">
      <c r="B4" s="34" t="s">
        <v>88</v>
      </c>
      <c r="C4" s="34" t="s">
        <v>89</v>
      </c>
      <c r="D4" s="34" t="s">
        <v>90</v>
      </c>
      <c r="E4" s="34" t="s">
        <v>91</v>
      </c>
      <c r="F4" s="34" t="s">
        <v>92</v>
      </c>
      <c r="G4" s="34" t="s">
        <v>93</v>
      </c>
      <c r="H4" s="34" t="s">
        <v>94</v>
      </c>
      <c r="I4" s="34" t="s">
        <v>95</v>
      </c>
      <c r="J4" s="34" t="s">
        <v>96</v>
      </c>
      <c r="K4" s="34" t="s">
        <v>97</v>
      </c>
      <c r="L4" s="34" t="s">
        <v>98</v>
      </c>
      <c r="M4" s="34" t="s">
        <v>99</v>
      </c>
      <c r="N4" s="34" t="s">
        <v>100</v>
      </c>
    </row>
    <row r="5" customFormat="false" ht="16.5" hidden="false" customHeight="true" outlineLevel="0" collapsed="false">
      <c r="B5" s="35" t="s">
        <v>101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customFormat="false" ht="16.5" hidden="false" customHeight="true" outlineLevel="0" collapsed="false">
      <c r="B6" s="6" t="s">
        <v>102</v>
      </c>
      <c r="C6" s="10" t="n">
        <f aca="false">'⚙️ Inputs'!C7</f>
        <v>80000</v>
      </c>
      <c r="D6" s="10" t="n">
        <f aca="false">'⚙️ Inputs'!C7</f>
        <v>80000</v>
      </c>
      <c r="E6" s="10" t="n">
        <f aca="false">'⚙️ Inputs'!C7</f>
        <v>80000</v>
      </c>
      <c r="F6" s="10" t="n">
        <f aca="false">'⚙️ Inputs'!C7</f>
        <v>80000</v>
      </c>
      <c r="G6" s="10" t="n">
        <f aca="false">'⚙️ Inputs'!C7</f>
        <v>80000</v>
      </c>
      <c r="H6" s="10" t="n">
        <f aca="false">'⚙️ Inputs'!C7</f>
        <v>80000</v>
      </c>
      <c r="I6" s="10" t="n">
        <f aca="false">'⚙️ Inputs'!C7</f>
        <v>80000</v>
      </c>
      <c r="J6" s="10" t="n">
        <f aca="false">'⚙️ Inputs'!C7</f>
        <v>80000</v>
      </c>
      <c r="K6" s="10" t="n">
        <f aca="false">'⚙️ Inputs'!C7</f>
        <v>80000</v>
      </c>
      <c r="L6" s="10" t="n">
        <f aca="false">'⚙️ Inputs'!C7</f>
        <v>80000</v>
      </c>
      <c r="M6" s="10" t="n">
        <f aca="false">'⚙️ Inputs'!C7</f>
        <v>80000</v>
      </c>
      <c r="N6" s="10" t="n">
        <f aca="false">'⚙️ Inputs'!C7</f>
        <v>80000</v>
      </c>
    </row>
    <row r="7" customFormat="false" ht="16.5" hidden="false" customHeight="true" outlineLevel="0" collapsed="false">
      <c r="B7" s="6" t="s">
        <v>103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</row>
    <row r="8" customFormat="false" ht="16.5" hidden="false" customHeight="true" outlineLevel="0" collapsed="false">
      <c r="B8" s="37" t="s">
        <v>104</v>
      </c>
      <c r="C8" s="38" t="n">
        <f aca="false">SUM(C6:C7)</f>
        <v>80000</v>
      </c>
      <c r="D8" s="38" t="n">
        <f aca="false">SUM(D6:D7)</f>
        <v>80000</v>
      </c>
      <c r="E8" s="38" t="n">
        <f aca="false">SUM(E6:E7)</f>
        <v>80000</v>
      </c>
      <c r="F8" s="38" t="n">
        <f aca="false">SUM(F6:F7)</f>
        <v>80000</v>
      </c>
      <c r="G8" s="38" t="n">
        <f aca="false">SUM(G6:G7)</f>
        <v>80000</v>
      </c>
      <c r="H8" s="38" t="n">
        <f aca="false">SUM(H6:H7)</f>
        <v>80000</v>
      </c>
      <c r="I8" s="38" t="n">
        <f aca="false">SUM(I6:I7)</f>
        <v>80000</v>
      </c>
      <c r="J8" s="38" t="n">
        <f aca="false">SUM(J6:J7)</f>
        <v>80000</v>
      </c>
      <c r="K8" s="38" t="n">
        <f aca="false">SUM(K6:K7)</f>
        <v>80000</v>
      </c>
      <c r="L8" s="38" t="n">
        <f aca="false">SUM(L6:L7)</f>
        <v>80000</v>
      </c>
      <c r="M8" s="38" t="n">
        <f aca="false">SUM(M6:M7)</f>
        <v>80000</v>
      </c>
      <c r="N8" s="38" t="n">
        <f aca="false">SUM(N6:N7)</f>
        <v>80000</v>
      </c>
    </row>
    <row r="9" customFormat="false" ht="16.5" hidden="false" customHeight="true" outlineLevel="0" collapsed="false"/>
    <row r="10" customFormat="false" ht="16.5" hidden="false" customHeight="true" outlineLevel="0" collapsed="false">
      <c r="B10" s="35" t="s">
        <v>105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customFormat="false" ht="16.5" hidden="false" customHeight="true" outlineLevel="0" collapsed="false">
      <c r="B11" s="6" t="s">
        <v>106</v>
      </c>
      <c r="C11" s="10" t="n">
        <f aca="false">'⚙️ Inputs'!C13</f>
        <v>25000</v>
      </c>
      <c r="D11" s="10" t="n">
        <f aca="false">'⚙️ Inputs'!C13</f>
        <v>25000</v>
      </c>
      <c r="E11" s="10" t="n">
        <f aca="false">'⚙️ Inputs'!C13</f>
        <v>25000</v>
      </c>
      <c r="F11" s="10" t="n">
        <f aca="false">'⚙️ Inputs'!C13</f>
        <v>25000</v>
      </c>
      <c r="G11" s="10" t="n">
        <f aca="false">'⚙️ Inputs'!C13</f>
        <v>25000</v>
      </c>
      <c r="H11" s="10" t="n">
        <f aca="false">'⚙️ Inputs'!C13</f>
        <v>25000</v>
      </c>
      <c r="I11" s="10" t="n">
        <f aca="false">'⚙️ Inputs'!C13</f>
        <v>25000</v>
      </c>
      <c r="J11" s="10" t="n">
        <f aca="false">'⚙️ Inputs'!C13</f>
        <v>25000</v>
      </c>
      <c r="K11" s="10" t="n">
        <f aca="false">'⚙️ Inputs'!C13</f>
        <v>25000</v>
      </c>
      <c r="L11" s="10" t="n">
        <f aca="false">'⚙️ Inputs'!C13</f>
        <v>25000</v>
      </c>
      <c r="M11" s="10" t="n">
        <f aca="false">'⚙️ Inputs'!C13</f>
        <v>25000</v>
      </c>
      <c r="N11" s="10" t="n">
        <f aca="false">'⚙️ Inputs'!C13</f>
        <v>25000</v>
      </c>
    </row>
    <row r="12" customFormat="false" ht="16.5" hidden="false" customHeight="true" outlineLevel="0" collapsed="false">
      <c r="B12" s="6" t="s">
        <v>107</v>
      </c>
      <c r="C12" s="10" t="n">
        <f aca="false">'⚙️ Inputs'!C14</f>
        <v>8000</v>
      </c>
      <c r="D12" s="10" t="n">
        <f aca="false">'⚙️ Inputs'!C14</f>
        <v>8000</v>
      </c>
      <c r="E12" s="10" t="n">
        <f aca="false">'⚙️ Inputs'!C14</f>
        <v>8000</v>
      </c>
      <c r="F12" s="10" t="n">
        <f aca="false">'⚙️ Inputs'!C14</f>
        <v>8000</v>
      </c>
      <c r="G12" s="10" t="n">
        <f aca="false">'⚙️ Inputs'!C14</f>
        <v>8000</v>
      </c>
      <c r="H12" s="10" t="n">
        <f aca="false">'⚙️ Inputs'!C14</f>
        <v>8000</v>
      </c>
      <c r="I12" s="10" t="n">
        <f aca="false">'⚙️ Inputs'!C14</f>
        <v>8000</v>
      </c>
      <c r="J12" s="10" t="n">
        <f aca="false">'⚙️ Inputs'!C14</f>
        <v>8000</v>
      </c>
      <c r="K12" s="10" t="n">
        <f aca="false">'⚙️ Inputs'!C14</f>
        <v>8000</v>
      </c>
      <c r="L12" s="10" t="n">
        <f aca="false">'⚙️ Inputs'!C14</f>
        <v>8000</v>
      </c>
      <c r="M12" s="10" t="n">
        <f aca="false">'⚙️ Inputs'!C14</f>
        <v>8000</v>
      </c>
      <c r="N12" s="10" t="n">
        <f aca="false">'⚙️ Inputs'!C14</f>
        <v>8000</v>
      </c>
    </row>
    <row r="13" customFormat="false" ht="16.5" hidden="false" customHeight="true" outlineLevel="0" collapsed="false">
      <c r="B13" s="6" t="s">
        <v>108</v>
      </c>
      <c r="C13" s="10" t="n">
        <f aca="false">'⚙️ Inputs'!C15</f>
        <v>4000</v>
      </c>
      <c r="D13" s="10" t="n">
        <f aca="false">'⚙️ Inputs'!C15</f>
        <v>4000</v>
      </c>
      <c r="E13" s="10" t="n">
        <f aca="false">'⚙️ Inputs'!C15</f>
        <v>4000</v>
      </c>
      <c r="F13" s="10" t="n">
        <f aca="false">'⚙️ Inputs'!C15</f>
        <v>4000</v>
      </c>
      <c r="G13" s="10" t="n">
        <f aca="false">'⚙️ Inputs'!C15</f>
        <v>4000</v>
      </c>
      <c r="H13" s="10" t="n">
        <f aca="false">'⚙️ Inputs'!C15</f>
        <v>4000</v>
      </c>
      <c r="I13" s="10" t="n">
        <f aca="false">'⚙️ Inputs'!C15</f>
        <v>4000</v>
      </c>
      <c r="J13" s="10" t="n">
        <f aca="false">'⚙️ Inputs'!C15</f>
        <v>4000</v>
      </c>
      <c r="K13" s="10" t="n">
        <f aca="false">'⚙️ Inputs'!C15</f>
        <v>4000</v>
      </c>
      <c r="L13" s="10" t="n">
        <f aca="false">'⚙️ Inputs'!C15</f>
        <v>4000</v>
      </c>
      <c r="M13" s="10" t="n">
        <f aca="false">'⚙️ Inputs'!C15</f>
        <v>4000</v>
      </c>
      <c r="N13" s="10" t="n">
        <f aca="false">'⚙️ Inputs'!C15</f>
        <v>4000</v>
      </c>
    </row>
    <row r="14" customFormat="false" ht="16.5" hidden="false" customHeight="true" outlineLevel="0" collapsed="false">
      <c r="B14" s="6" t="s">
        <v>109</v>
      </c>
      <c r="C14" s="10" t="n">
        <f aca="false">'⚙️ Inputs'!C16</f>
        <v>3000</v>
      </c>
      <c r="D14" s="10" t="n">
        <f aca="false">'⚙️ Inputs'!C16</f>
        <v>3000</v>
      </c>
      <c r="E14" s="10" t="n">
        <f aca="false">'⚙️ Inputs'!C16</f>
        <v>3000</v>
      </c>
      <c r="F14" s="10" t="n">
        <f aca="false">'⚙️ Inputs'!C16</f>
        <v>3000</v>
      </c>
      <c r="G14" s="10" t="n">
        <f aca="false">'⚙️ Inputs'!C16</f>
        <v>3000</v>
      </c>
      <c r="H14" s="10" t="n">
        <f aca="false">'⚙️ Inputs'!C16</f>
        <v>3000</v>
      </c>
      <c r="I14" s="10" t="n">
        <f aca="false">'⚙️ Inputs'!C16</f>
        <v>3000</v>
      </c>
      <c r="J14" s="10" t="n">
        <f aca="false">'⚙️ Inputs'!C16</f>
        <v>3000</v>
      </c>
      <c r="K14" s="10" t="n">
        <f aca="false">'⚙️ Inputs'!C16</f>
        <v>3000</v>
      </c>
      <c r="L14" s="10" t="n">
        <f aca="false">'⚙️ Inputs'!C16</f>
        <v>3000</v>
      </c>
      <c r="M14" s="10" t="n">
        <f aca="false">'⚙️ Inputs'!C16</f>
        <v>3000</v>
      </c>
      <c r="N14" s="10" t="n">
        <f aca="false">'⚙️ Inputs'!C16</f>
        <v>3000</v>
      </c>
    </row>
    <row r="15" customFormat="false" ht="16.5" hidden="false" customHeight="true" outlineLevel="0" collapsed="false">
      <c r="B15" s="6" t="s">
        <v>110</v>
      </c>
      <c r="C15" s="10" t="n">
        <f aca="false">'⚙️ Inputs'!C17</f>
        <v>0</v>
      </c>
      <c r="D15" s="10" t="n">
        <f aca="false">'⚙️ Inputs'!C17</f>
        <v>0</v>
      </c>
      <c r="E15" s="10" t="n">
        <f aca="false">'⚙️ Inputs'!C17</f>
        <v>0</v>
      </c>
      <c r="F15" s="10" t="n">
        <f aca="false">'⚙️ Inputs'!C17</f>
        <v>0</v>
      </c>
      <c r="G15" s="10" t="n">
        <f aca="false">'⚙️ Inputs'!C17</f>
        <v>0</v>
      </c>
      <c r="H15" s="10" t="n">
        <f aca="false">'⚙️ Inputs'!C17</f>
        <v>0</v>
      </c>
      <c r="I15" s="10" t="n">
        <f aca="false">'⚙️ Inputs'!C17</f>
        <v>0</v>
      </c>
      <c r="J15" s="10" t="n">
        <f aca="false">'⚙️ Inputs'!C17</f>
        <v>0</v>
      </c>
      <c r="K15" s="10" t="n">
        <f aca="false">'⚙️ Inputs'!C17</f>
        <v>0</v>
      </c>
      <c r="L15" s="10" t="n">
        <f aca="false">'⚙️ Inputs'!C17</f>
        <v>0</v>
      </c>
      <c r="M15" s="10" t="n">
        <f aca="false">'⚙️ Inputs'!C17</f>
        <v>0</v>
      </c>
      <c r="N15" s="10" t="n">
        <f aca="false">'⚙️ Inputs'!C17</f>
        <v>0</v>
      </c>
    </row>
    <row r="16" customFormat="false" ht="16.5" hidden="false" customHeight="true" outlineLevel="0" collapsed="false">
      <c r="B16" s="6" t="s">
        <v>111</v>
      </c>
      <c r="C16" s="10" t="n">
        <f aca="false">'⚙️ Inputs'!C18</f>
        <v>5000</v>
      </c>
      <c r="D16" s="10" t="n">
        <f aca="false">'⚙️ Inputs'!C18</f>
        <v>5000</v>
      </c>
      <c r="E16" s="10" t="n">
        <f aca="false">'⚙️ Inputs'!C18</f>
        <v>5000</v>
      </c>
      <c r="F16" s="10" t="n">
        <f aca="false">'⚙️ Inputs'!C18</f>
        <v>5000</v>
      </c>
      <c r="G16" s="10" t="n">
        <f aca="false">'⚙️ Inputs'!C18</f>
        <v>5000</v>
      </c>
      <c r="H16" s="10" t="n">
        <f aca="false">'⚙️ Inputs'!C18</f>
        <v>5000</v>
      </c>
      <c r="I16" s="10" t="n">
        <f aca="false">'⚙️ Inputs'!C18</f>
        <v>5000</v>
      </c>
      <c r="J16" s="10" t="n">
        <f aca="false">'⚙️ Inputs'!C18</f>
        <v>5000</v>
      </c>
      <c r="K16" s="10" t="n">
        <f aca="false">'⚙️ Inputs'!C18</f>
        <v>5000</v>
      </c>
      <c r="L16" s="10" t="n">
        <f aca="false">'⚙️ Inputs'!C18</f>
        <v>5000</v>
      </c>
      <c r="M16" s="10" t="n">
        <f aca="false">'⚙️ Inputs'!C18</f>
        <v>5000</v>
      </c>
      <c r="N16" s="10" t="n">
        <f aca="false">'⚙️ Inputs'!C18</f>
        <v>5000</v>
      </c>
    </row>
    <row r="17" customFormat="false" ht="16.5" hidden="false" customHeight="true" outlineLevel="0" collapsed="false">
      <c r="B17" s="6" t="s">
        <v>112</v>
      </c>
      <c r="C17" s="10" t="n">
        <f aca="false">'⚙️ Inputs'!C19</f>
        <v>5000</v>
      </c>
      <c r="D17" s="10" t="n">
        <f aca="false">'⚙️ Inputs'!C19</f>
        <v>5000</v>
      </c>
      <c r="E17" s="10" t="n">
        <f aca="false">'⚙️ Inputs'!C19</f>
        <v>5000</v>
      </c>
      <c r="F17" s="10" t="n">
        <f aca="false">'⚙️ Inputs'!C19</f>
        <v>5000</v>
      </c>
      <c r="G17" s="10" t="n">
        <f aca="false">'⚙️ Inputs'!C19</f>
        <v>5000</v>
      </c>
      <c r="H17" s="10" t="n">
        <f aca="false">'⚙️ Inputs'!C19</f>
        <v>5000</v>
      </c>
      <c r="I17" s="10" t="n">
        <f aca="false">'⚙️ Inputs'!C19</f>
        <v>5000</v>
      </c>
      <c r="J17" s="10" t="n">
        <f aca="false">'⚙️ Inputs'!C19</f>
        <v>5000</v>
      </c>
      <c r="K17" s="10" t="n">
        <f aca="false">'⚙️ Inputs'!C19</f>
        <v>5000</v>
      </c>
      <c r="L17" s="10" t="n">
        <f aca="false">'⚙️ Inputs'!C19</f>
        <v>5000</v>
      </c>
      <c r="M17" s="10" t="n">
        <f aca="false">'⚙️ Inputs'!C19</f>
        <v>5000</v>
      </c>
      <c r="N17" s="10" t="n">
        <f aca="false">'⚙️ Inputs'!C19</f>
        <v>5000</v>
      </c>
    </row>
    <row r="18" customFormat="false" ht="16.5" hidden="false" customHeight="true" outlineLevel="0" collapsed="false">
      <c r="B18" s="37" t="s">
        <v>113</v>
      </c>
      <c r="C18" s="39" t="n">
        <f aca="false">SUM(C11:C17)</f>
        <v>50000</v>
      </c>
      <c r="D18" s="39" t="n">
        <f aca="false">SUM(D11:D17)</f>
        <v>50000</v>
      </c>
      <c r="E18" s="39" t="n">
        <f aca="false">SUM(E11:E17)</f>
        <v>50000</v>
      </c>
      <c r="F18" s="39" t="n">
        <f aca="false">SUM(F11:F17)</f>
        <v>50000</v>
      </c>
      <c r="G18" s="39" t="n">
        <f aca="false">SUM(G11:G17)</f>
        <v>50000</v>
      </c>
      <c r="H18" s="39" t="n">
        <f aca="false">SUM(H11:H17)</f>
        <v>50000</v>
      </c>
      <c r="I18" s="39" t="n">
        <f aca="false">SUM(I11:I17)</f>
        <v>50000</v>
      </c>
      <c r="J18" s="39" t="n">
        <f aca="false">SUM(J11:J17)</f>
        <v>50000</v>
      </c>
      <c r="K18" s="39" t="n">
        <f aca="false">SUM(K11:K17)</f>
        <v>50000</v>
      </c>
      <c r="L18" s="39" t="n">
        <f aca="false">SUM(L11:L17)</f>
        <v>50000</v>
      </c>
      <c r="M18" s="39" t="n">
        <f aca="false">SUM(M11:M17)</f>
        <v>50000</v>
      </c>
      <c r="N18" s="39" t="n">
        <f aca="false">SUM(N11:N17)</f>
        <v>50000</v>
      </c>
    </row>
    <row r="19" customFormat="false" ht="16.5" hidden="false" customHeight="true" outlineLevel="0" collapsed="false"/>
    <row r="20" customFormat="false" ht="16.5" hidden="false" customHeight="true" outlineLevel="0" collapsed="false">
      <c r="B20" s="37" t="s">
        <v>114</v>
      </c>
      <c r="C20" s="40" t="n">
        <f aca="false">C8-C18</f>
        <v>30000</v>
      </c>
      <c r="D20" s="40" t="n">
        <f aca="false">D8-D18</f>
        <v>30000</v>
      </c>
      <c r="E20" s="40" t="n">
        <f aca="false">E8-E18</f>
        <v>30000</v>
      </c>
      <c r="F20" s="40" t="n">
        <f aca="false">F8-F18</f>
        <v>30000</v>
      </c>
      <c r="G20" s="40" t="n">
        <f aca="false">G8-G18</f>
        <v>30000</v>
      </c>
      <c r="H20" s="40" t="n">
        <f aca="false">H8-H18</f>
        <v>30000</v>
      </c>
      <c r="I20" s="40" t="n">
        <f aca="false">I8-I18</f>
        <v>30000</v>
      </c>
      <c r="J20" s="40" t="n">
        <f aca="false">J8-J18</f>
        <v>30000</v>
      </c>
      <c r="K20" s="40" t="n">
        <f aca="false">K8-K18</f>
        <v>30000</v>
      </c>
      <c r="L20" s="40" t="n">
        <f aca="false">L8-L18</f>
        <v>30000</v>
      </c>
      <c r="M20" s="40" t="n">
        <f aca="false">M8-M18</f>
        <v>30000</v>
      </c>
      <c r="N20" s="40" t="n">
        <f aca="false">N8-N18</f>
        <v>30000</v>
      </c>
    </row>
    <row r="21" customFormat="false" ht="16.5" hidden="false" customHeight="true" outlineLevel="0" collapsed="false">
      <c r="B21" s="37" t="s">
        <v>115</v>
      </c>
      <c r="C21" s="41" t="n">
        <f aca="false">'⚙️ Inputs'!C26+C20</f>
        <v>280000</v>
      </c>
      <c r="D21" s="41" t="n">
        <f aca="false">C21+D20</f>
        <v>310000</v>
      </c>
      <c r="E21" s="41" t="n">
        <f aca="false">D21+E20</f>
        <v>340000</v>
      </c>
      <c r="F21" s="41" t="n">
        <f aca="false">E21+F20</f>
        <v>370000</v>
      </c>
      <c r="G21" s="41" t="n">
        <f aca="false">F21+G20</f>
        <v>400000</v>
      </c>
      <c r="H21" s="41" t="n">
        <f aca="false">G21+H20</f>
        <v>430000</v>
      </c>
      <c r="I21" s="41" t="n">
        <f aca="false">H21+I20</f>
        <v>460000</v>
      </c>
      <c r="J21" s="41" t="n">
        <f aca="false">I21+J20</f>
        <v>490000</v>
      </c>
      <c r="K21" s="41" t="n">
        <f aca="false">J21+K20</f>
        <v>520000</v>
      </c>
      <c r="L21" s="41" t="n">
        <f aca="false">K21+L20</f>
        <v>550000</v>
      </c>
      <c r="M21" s="41" t="n">
        <f aca="false">L21+M20</f>
        <v>580000</v>
      </c>
      <c r="N21" s="41" t="n">
        <f aca="false">M21+N20</f>
        <v>610000</v>
      </c>
    </row>
    <row r="23" customFormat="false" ht="19.5" hidden="false" customHeight="true" outlineLevel="0" collapsed="false">
      <c r="B23" s="4" t="s">
        <v>116</v>
      </c>
      <c r="C23" s="4"/>
      <c r="D23" s="4"/>
      <c r="E23" s="4"/>
      <c r="F23" s="4"/>
    </row>
    <row r="24" customFormat="false" ht="18" hidden="false" customHeight="true" outlineLevel="0" collapsed="false">
      <c r="B24" s="6" t="s">
        <v>15</v>
      </c>
      <c r="C24" s="12" t="n">
        <f aca="false">IF(('⚙️ Inputs'!C20-'⚙️ Inputs'!C7)&gt;0,'⚙️ Inputs'!C26/('⚙️ Inputs'!C20-'⚙️ Inputs'!C7),99)</f>
        <v>99</v>
      </c>
    </row>
    <row r="25" customFormat="false" ht="18" hidden="false" customHeight="true" outlineLevel="0" collapsed="false">
      <c r="B25" s="6" t="s">
        <v>117</v>
      </c>
      <c r="C25" s="11" t="n">
        <f aca="false">IF('⚙️ Inputs'!C7&gt;0,('⚙️ Inputs'!C7-'⚙️ Inputs'!C20)/'⚙️ Inputs'!C7,0)</f>
        <v>0.375</v>
      </c>
    </row>
    <row r="26" customFormat="false" ht="18" hidden="false" customHeight="true" outlineLevel="0" collapsed="false">
      <c r="B26" s="6" t="s">
        <v>118</v>
      </c>
      <c r="C26" s="7" t="n">
        <f aca="false">'⚙️ Inputs'!C20*6</f>
        <v>300000</v>
      </c>
    </row>
    <row r="27" customFormat="false" ht="18" hidden="false" customHeight="true" outlineLevel="0" collapsed="false">
      <c r="B27" s="6" t="s">
        <v>119</v>
      </c>
      <c r="C27" s="7" t="n">
        <f aca="false">'⚙️ Inputs'!C26</f>
        <v>250000</v>
      </c>
    </row>
    <row r="28" customFormat="false" ht="18" hidden="false" customHeight="true" outlineLevel="0" collapsed="false">
      <c r="B28" s="6" t="s">
        <v>120</v>
      </c>
      <c r="C28" s="7" t="n">
        <f aca="false">C26-C27</f>
        <v>50000</v>
      </c>
    </row>
    <row r="29" customFormat="false" ht="18" hidden="false" customHeight="true" outlineLevel="0" collapsed="false">
      <c r="B29" s="6" t="s">
        <v>17</v>
      </c>
      <c r="C29" s="11" t="n">
        <f aca="false">IF('⚙️ Inputs'!C7&gt;0,'⚙️ Inputs'!C17/'⚙️ Inputs'!C7,0)</f>
        <v>0</v>
      </c>
    </row>
  </sheetData>
  <mergeCells count="2">
    <mergeCell ref="B2:H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5E1E"/>
    <pageSetUpPr fitToPage="false"/>
  </sheetPr>
  <dimension ref="B2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20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42" t="s">
        <v>121</v>
      </c>
      <c r="C2" s="42"/>
      <c r="D2" s="42"/>
      <c r="E2" s="42"/>
    </row>
    <row r="4" customFormat="false" ht="21.75" hidden="false" customHeight="true" outlineLevel="0" collapsed="false">
      <c r="B4" s="5" t="s">
        <v>122</v>
      </c>
      <c r="C4" s="5" t="s">
        <v>123</v>
      </c>
      <c r="D4" s="5" t="s">
        <v>124</v>
      </c>
      <c r="E4" s="5" t="s">
        <v>125</v>
      </c>
    </row>
    <row r="5" customFormat="false" ht="15" hidden="false" customHeight="true" outlineLevel="0" collapsed="false">
      <c r="B5" s="31" t="s">
        <v>126</v>
      </c>
      <c r="C5" s="7" t="n">
        <f aca="false">'⚙️ Inputs'!C7*12</f>
        <v>960000</v>
      </c>
      <c r="D5" s="7" t="n">
        <f aca="false">'⚙️ Inputs'!C7*12</f>
        <v>960000</v>
      </c>
      <c r="E5" s="7" t="n">
        <f aca="false">C5-D5</f>
        <v>0</v>
      </c>
    </row>
    <row r="7" customFormat="false" ht="19.5" hidden="false" customHeight="true" outlineLevel="0" collapsed="false">
      <c r="B7" s="43" t="s">
        <v>127</v>
      </c>
      <c r="C7" s="43"/>
      <c r="D7" s="43"/>
    </row>
    <row r="8" customFormat="false" ht="16.5" hidden="false" customHeight="true" outlineLevel="0" collapsed="false">
      <c r="B8" s="6" t="s">
        <v>128</v>
      </c>
      <c r="C8" s="7" t="n">
        <f aca="false">50000</f>
        <v>50000</v>
      </c>
      <c r="D8" s="44" t="s">
        <v>8</v>
      </c>
    </row>
    <row r="9" customFormat="false" ht="16.5" hidden="false" customHeight="true" outlineLevel="0" collapsed="false">
      <c r="B9" s="6" t="s">
        <v>129</v>
      </c>
      <c r="C9" s="7" t="n">
        <f aca="false">'⚙️ Inputs'!C47</f>
        <v>0</v>
      </c>
      <c r="D9" s="44" t="s">
        <v>8</v>
      </c>
    </row>
    <row r="10" customFormat="false" ht="16.5" hidden="false" customHeight="true" outlineLevel="0" collapsed="false">
      <c r="B10" s="6" t="s">
        <v>130</v>
      </c>
      <c r="C10" s="7" t="n">
        <f aca="false">MIN('💼 Investments'!C8+'💼 Investments'!C9,150000)</f>
        <v>0</v>
      </c>
      <c r="D10" s="44" t="s">
        <v>8</v>
      </c>
    </row>
    <row r="11" customFormat="false" ht="16.5" hidden="false" customHeight="true" outlineLevel="0" collapsed="false">
      <c r="B11" s="6" t="s">
        <v>131</v>
      </c>
      <c r="C11" s="7" t="n">
        <f aca="false">MIN('💼 Investments'!C10,50000)</f>
        <v>0</v>
      </c>
      <c r="D11" s="44" t="s">
        <v>8</v>
      </c>
    </row>
    <row r="12" customFormat="false" ht="16.5" hidden="false" customHeight="true" outlineLevel="0" collapsed="false">
      <c r="B12" s="6" t="s">
        <v>132</v>
      </c>
      <c r="C12" s="7" t="n">
        <f aca="false">MIN('⚙️ Inputs'!C36,25000)</f>
        <v>0</v>
      </c>
      <c r="D12" s="44" t="s">
        <v>8</v>
      </c>
    </row>
    <row r="13" customFormat="false" ht="16.5" hidden="false" customHeight="true" outlineLevel="0" collapsed="false">
      <c r="B13" s="6" t="s">
        <v>133</v>
      </c>
      <c r="C13" s="7" t="n">
        <f aca="false">MIN('⚙️ Inputs'!C48,200000)</f>
        <v>0</v>
      </c>
      <c r="D13" s="44" t="s">
        <v>8</v>
      </c>
    </row>
    <row r="14" customFormat="false" ht="16.5" hidden="false" customHeight="true" outlineLevel="0" collapsed="false">
      <c r="B14" s="6" t="s">
        <v>134</v>
      </c>
      <c r="C14" s="7" t="n">
        <f aca="false">'⚙️ Inputs'!C49</f>
        <v>0</v>
      </c>
      <c r="D14" s="44" t="s">
        <v>8</v>
      </c>
    </row>
    <row r="15" customFormat="false" ht="15" hidden="false" customHeight="true" outlineLevel="0" collapsed="false">
      <c r="B15" s="31" t="s">
        <v>135</v>
      </c>
      <c r="C15" s="32" t="n">
        <f aca="false">SUM(C8:C14)</f>
        <v>50000</v>
      </c>
      <c r="D15" s="45" t="n">
        <v>75000</v>
      </c>
    </row>
    <row r="17" customFormat="false" ht="15" hidden="false" customHeight="true" outlineLevel="0" collapsed="false">
      <c r="B17" s="31" t="s">
        <v>136</v>
      </c>
      <c r="C17" s="46" t="n">
        <f aca="false">MAX(C5-C15,0)</f>
        <v>910000</v>
      </c>
      <c r="D17" s="46" t="n">
        <f aca="false">MAX(C5-75000,0)</f>
        <v>885000</v>
      </c>
      <c r="E17" s="7" t="n">
        <f aca="false">C17-D17</f>
        <v>25000</v>
      </c>
    </row>
    <row r="19" customFormat="false" ht="19.5" hidden="false" customHeight="true" outlineLevel="0" collapsed="false">
      <c r="B19" s="43" t="s">
        <v>137</v>
      </c>
      <c r="C19" s="43"/>
      <c r="D19" s="43"/>
    </row>
    <row r="20" customFormat="false" ht="15" hidden="false" customHeight="true" outlineLevel="0" collapsed="false">
      <c r="B20" s="6" t="s">
        <v>138</v>
      </c>
      <c r="C20" s="7" t="n">
        <f aca="false">MAX(0,IF(C17&lt;=250000,0,IF(C17&lt;=500000,(C17-250000)*0.05,IF(C17&lt;=1000000,12500+(C17-500000)*0.2,112500+(C17-1000000)*0.3))))</f>
        <v>94500</v>
      </c>
      <c r="D20" s="7" t="n">
        <f aca="false">MAX(0,IF(D17&lt;=300000,0,IF(D17&lt;=700000,(D17-300000)*0.05,IF(D17&lt;=1000000,20000+(D17-700000)*0.1,IF(D17&lt;=1200000,50000+(D17-1000000)*0.15,IF(D17&lt;=1500000,80000+(D17-1200000)*0.2,140000+(D17-1500000)*0.3))))))</f>
        <v>38500</v>
      </c>
      <c r="E20" s="7" t="n">
        <f aca="false">C20-D20</f>
        <v>56000</v>
      </c>
    </row>
    <row r="21" customFormat="false" ht="15" hidden="false" customHeight="true" outlineLevel="0" collapsed="false">
      <c r="B21" s="6" t="s">
        <v>139</v>
      </c>
      <c r="C21" s="7" t="n">
        <f aca="false">IF(C17&lt;=500000,MIN(C20,12500),0)</f>
        <v>0</v>
      </c>
      <c r="D21" s="7" t="n">
        <f aca="false">IF(D17&lt;=700000,MIN(D20,25000),0)</f>
        <v>0</v>
      </c>
      <c r="E21" s="7" t="n">
        <f aca="false">C21-D21</f>
        <v>0</v>
      </c>
    </row>
    <row r="22" customFormat="false" ht="15" hidden="false" customHeight="true" outlineLevel="0" collapsed="false">
      <c r="B22" s="6" t="s">
        <v>140</v>
      </c>
      <c r="C22" s="7" t="n">
        <f aca="false">(C20-C21)*0.04</f>
        <v>3780</v>
      </c>
      <c r="D22" s="7" t="n">
        <f aca="false">(D20-D21)*0.04</f>
        <v>1540</v>
      </c>
      <c r="E22" s="7" t="n">
        <f aca="false">C22-D22</f>
        <v>2240</v>
      </c>
    </row>
    <row r="24" customFormat="false" ht="15" hidden="false" customHeight="true" outlineLevel="0" collapsed="false">
      <c r="B24" s="31" t="s">
        <v>141</v>
      </c>
      <c r="C24" s="46" t="n">
        <f aca="false">(C20-C21)+C22</f>
        <v>98280</v>
      </c>
      <c r="D24" s="46" t="n">
        <f aca="false">(D20-D21)+D22</f>
        <v>40040</v>
      </c>
      <c r="E24" s="7" t="n">
        <f aca="false">C24-D24</f>
        <v>58240</v>
      </c>
    </row>
    <row r="26" customFormat="false" ht="21.75" hidden="false" customHeight="true" outlineLevel="0" collapsed="false">
      <c r="B26" s="47" t="str">
        <f aca="false">IF(C24&lt;D24,"✅ VERDICT: Old Regime saves ₹"&amp;TEXT(D24-C24,"#,##0")&amp;" vs New Regime → Stick with OLD","✅ VERDICT: New Regime saves ₹"&amp;TEXT(C24-D24,"#,##0")&amp;" vs Old Regime → Switch to NEW")</f>
        <v>✅ VERDICT: New Regime saves ₹58,240 vs Old Regime → Switch to NEW</v>
      </c>
      <c r="C26" s="47"/>
      <c r="D26" s="47"/>
      <c r="E26" s="47"/>
    </row>
    <row r="28" customFormat="false" ht="19.5" hidden="false" customHeight="true" outlineLevel="0" collapsed="false">
      <c r="B28" s="23" t="s">
        <v>142</v>
      </c>
      <c r="C28" s="23"/>
      <c r="D28" s="23"/>
    </row>
    <row r="29" customFormat="false" ht="16.5" hidden="false" customHeight="true" outlineLevel="0" collapsed="false">
      <c r="B29" s="6" t="s">
        <v>143</v>
      </c>
      <c r="C29" s="48" t="n">
        <f aca="false">MAX(0,50000-MIN('💼 Investments'!C10,50000))</f>
        <v>50000</v>
      </c>
    </row>
    <row r="30" customFormat="false" ht="16.5" hidden="false" customHeight="true" outlineLevel="0" collapsed="false">
      <c r="B30" s="6" t="s">
        <v>144</v>
      </c>
      <c r="C30" s="48" t="n">
        <f aca="false">MAX(0,150000-MIN('💼 Investments'!C8+'💼 Investments'!C9,150000))</f>
        <v>150000</v>
      </c>
    </row>
    <row r="31" customFormat="false" ht="16.5" hidden="false" customHeight="true" outlineLevel="0" collapsed="false">
      <c r="B31" s="6" t="s">
        <v>145</v>
      </c>
      <c r="C31" s="48" t="n">
        <f aca="false">MAX(0,25000-MIN('⚙️ Inputs'!C36,25000))</f>
        <v>25000</v>
      </c>
    </row>
    <row r="32" customFormat="false" ht="16.5" hidden="false" customHeight="true" outlineLevel="0" collapsed="false">
      <c r="B32" s="31" t="s">
        <v>146</v>
      </c>
      <c r="C32" s="32" t="n">
        <f aca="false">SUM(C29:C31)*0.3</f>
        <v>67500</v>
      </c>
    </row>
    <row r="35" customFormat="false" ht="19.5" hidden="false" customHeight="true" outlineLevel="0" collapsed="false">
      <c r="B35" s="4" t="s">
        <v>147</v>
      </c>
      <c r="C35" s="4"/>
      <c r="D35" s="4"/>
    </row>
    <row r="36" customFormat="false" ht="21.75" hidden="false" customHeight="true" outlineLevel="0" collapsed="false">
      <c r="B36" s="5" t="s">
        <v>148</v>
      </c>
      <c r="C36" s="5" t="s">
        <v>149</v>
      </c>
      <c r="D36" s="5" t="s">
        <v>150</v>
      </c>
      <c r="E36" s="5" t="s">
        <v>151</v>
      </c>
    </row>
    <row r="37" customFormat="false" ht="16.5" hidden="false" customHeight="true" outlineLevel="0" collapsed="false">
      <c r="B37" s="14" t="s">
        <v>152</v>
      </c>
      <c r="C37" s="14" t="s">
        <v>153</v>
      </c>
      <c r="D37" s="49" t="s">
        <v>154</v>
      </c>
      <c r="E37" s="15" t="n">
        <f aca="false">C24*0.15</f>
        <v>14742</v>
      </c>
    </row>
    <row r="38" customFormat="false" ht="16.5" hidden="false" customHeight="true" outlineLevel="0" collapsed="false">
      <c r="B38" s="19" t="s">
        <v>155</v>
      </c>
      <c r="C38" s="19" t="s">
        <v>156</v>
      </c>
      <c r="D38" s="50" t="s">
        <v>157</v>
      </c>
      <c r="E38" s="20" t="n">
        <f aca="false">C24*0.45</f>
        <v>44226</v>
      </c>
    </row>
    <row r="39" customFormat="false" ht="16.5" hidden="false" customHeight="true" outlineLevel="0" collapsed="false">
      <c r="B39" s="14" t="s">
        <v>158</v>
      </c>
      <c r="C39" s="14" t="s">
        <v>159</v>
      </c>
      <c r="D39" s="49" t="s">
        <v>160</v>
      </c>
      <c r="E39" s="15" t="n">
        <f aca="false">C24*0.75</f>
        <v>73710</v>
      </c>
    </row>
    <row r="40" customFormat="false" ht="16.5" hidden="false" customHeight="true" outlineLevel="0" collapsed="false">
      <c r="B40" s="19" t="s">
        <v>161</v>
      </c>
      <c r="C40" s="19" t="s">
        <v>162</v>
      </c>
      <c r="D40" s="50" t="s">
        <v>163</v>
      </c>
      <c r="E40" s="20" t="n">
        <f aca="false">C24*1</f>
        <v>98280</v>
      </c>
    </row>
  </sheetData>
  <mergeCells count="6">
    <mergeCell ref="B2:E2"/>
    <mergeCell ref="B7:D7"/>
    <mergeCell ref="B19:D19"/>
    <mergeCell ref="B26:E26"/>
    <mergeCell ref="B28:D28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8"/>
    <col collapsed="false" customWidth="true" hidden="false" outlineLevel="0" max="6" min="6" style="1" width="20"/>
    <col collapsed="false" customWidth="true" hidden="false" outlineLevel="0" max="7" min="7" style="1" width="3"/>
  </cols>
  <sheetData>
    <row r="2" customFormat="false" ht="31.5" hidden="false" customHeight="true" outlineLevel="0" collapsed="false">
      <c r="B2" s="26" t="s">
        <v>164</v>
      </c>
      <c r="C2" s="26"/>
      <c r="D2" s="26"/>
      <c r="E2" s="26"/>
      <c r="F2" s="26"/>
    </row>
    <row r="4" customFormat="false" ht="21.75" hidden="false" customHeight="true" outlineLevel="0" collapsed="false">
      <c r="B4" s="5" t="s">
        <v>22</v>
      </c>
      <c r="C4" s="5" t="s">
        <v>165</v>
      </c>
      <c r="D4" s="5" t="s">
        <v>166</v>
      </c>
      <c r="E4" s="5" t="s">
        <v>167</v>
      </c>
      <c r="F4" s="5" t="s">
        <v>168</v>
      </c>
    </row>
    <row r="5" customFormat="false" ht="19.5" hidden="false" customHeight="true" outlineLevel="0" collapsed="false">
      <c r="B5" s="4" t="s">
        <v>169</v>
      </c>
      <c r="C5" s="4"/>
      <c r="D5" s="4"/>
      <c r="E5" s="4"/>
      <c r="F5" s="4"/>
    </row>
    <row r="6" customFormat="false" ht="15" hidden="false" customHeight="true" outlineLevel="0" collapsed="false">
      <c r="B6" s="6" t="s">
        <v>170</v>
      </c>
      <c r="C6" s="29" t="n">
        <v>0</v>
      </c>
      <c r="D6" s="7" t="n">
        <f aca="false">C6*12</f>
        <v>0</v>
      </c>
      <c r="E6" s="10" t="n">
        <f aca="false">'⚙️ Inputs'!C25</f>
        <v>0</v>
      </c>
      <c r="F6" s="7" t="n">
        <f aca="false">'⚙️ Inputs'!C20*6</f>
        <v>300000</v>
      </c>
    </row>
    <row r="7" customFormat="false" ht="19.5" hidden="false" customHeight="true" outlineLevel="0" collapsed="false">
      <c r="B7" s="4" t="s">
        <v>171</v>
      </c>
      <c r="C7" s="4"/>
      <c r="D7" s="4"/>
      <c r="E7" s="4"/>
      <c r="F7" s="4"/>
    </row>
    <row r="8" customFormat="false" ht="16.5" hidden="false" customHeight="true" outlineLevel="0" collapsed="false">
      <c r="B8" s="6" t="s">
        <v>172</v>
      </c>
      <c r="C8" s="29" t="n">
        <v>0</v>
      </c>
      <c r="D8" s="7" t="n">
        <f aca="false">C8*12</f>
        <v>0</v>
      </c>
      <c r="E8" s="10" t="n">
        <f aca="false">'⚙️ Inputs'!C27</f>
        <v>80000</v>
      </c>
      <c r="F8" s="51" t="n">
        <v>150000</v>
      </c>
    </row>
    <row r="9" customFormat="false" ht="16.5" hidden="false" customHeight="true" outlineLevel="0" collapsed="false">
      <c r="B9" s="6" t="s">
        <v>173</v>
      </c>
      <c r="C9" s="29" t="n">
        <v>0</v>
      </c>
      <c r="D9" s="7" t="n">
        <f aca="false">C9*12</f>
        <v>0</v>
      </c>
      <c r="E9" s="10" t="n">
        <f aca="false">'⚙️ Inputs'!C28</f>
        <v>0</v>
      </c>
      <c r="F9" s="51" t="n">
        <v>50000</v>
      </c>
    </row>
    <row r="10" customFormat="false" ht="16.5" hidden="false" customHeight="true" outlineLevel="0" collapsed="false">
      <c r="B10" s="6" t="s">
        <v>174</v>
      </c>
      <c r="C10" s="29" t="n">
        <v>0</v>
      </c>
      <c r="D10" s="7" t="n">
        <f aca="false">C10*12</f>
        <v>0</v>
      </c>
      <c r="E10" s="29" t="n">
        <v>0</v>
      </c>
      <c r="F10" s="51" t="n">
        <v>0</v>
      </c>
    </row>
    <row r="11" customFormat="false" ht="16.5" hidden="false" customHeight="true" outlineLevel="0" collapsed="false">
      <c r="B11" s="6" t="s">
        <v>175</v>
      </c>
      <c r="C11" s="29" t="n">
        <v>0</v>
      </c>
      <c r="D11" s="7" t="n">
        <f aca="false">C11*12</f>
        <v>0</v>
      </c>
      <c r="E11" s="10" t="n">
        <f aca="false">'⚙️ Inputs'!C36</f>
        <v>0</v>
      </c>
      <c r="F11" s="51" t="n">
        <v>25000</v>
      </c>
    </row>
    <row r="12" customFormat="false" ht="19.5" hidden="false" customHeight="true" outlineLevel="0" collapsed="false">
      <c r="B12" s="4" t="s">
        <v>176</v>
      </c>
      <c r="C12" s="4"/>
      <c r="D12" s="4"/>
      <c r="E12" s="4"/>
      <c r="F12" s="4"/>
    </row>
    <row r="13" customFormat="false" ht="16.5" hidden="false" customHeight="true" outlineLevel="0" collapsed="false">
      <c r="B13" s="6" t="s">
        <v>177</v>
      </c>
      <c r="C13" s="29" t="n">
        <v>0</v>
      </c>
      <c r="D13" s="7" t="n">
        <f aca="false">C13*12</f>
        <v>0</v>
      </c>
      <c r="E13" s="29" t="n">
        <v>0</v>
      </c>
      <c r="F13" s="52" t="s">
        <v>178</v>
      </c>
    </row>
    <row r="14" customFormat="false" ht="16.5" hidden="false" customHeight="true" outlineLevel="0" collapsed="false">
      <c r="B14" s="6" t="s">
        <v>179</v>
      </c>
      <c r="C14" s="29" t="n">
        <v>0</v>
      </c>
      <c r="D14" s="7" t="n">
        <f aca="false">C14*12</f>
        <v>0</v>
      </c>
      <c r="E14" s="29" t="n">
        <v>0</v>
      </c>
      <c r="F14" s="52" t="s">
        <v>180</v>
      </c>
    </row>
    <row r="15" customFormat="false" ht="16.5" hidden="false" customHeight="true" outlineLevel="0" collapsed="false">
      <c r="B15" s="6" t="s">
        <v>181</v>
      </c>
      <c r="C15" s="29" t="n">
        <v>0</v>
      </c>
      <c r="D15" s="7" t="n">
        <f aca="false">C15*12</f>
        <v>0</v>
      </c>
      <c r="E15" s="29" t="n">
        <v>0</v>
      </c>
      <c r="F15" s="52" t="s">
        <v>182</v>
      </c>
    </row>
    <row r="17" customFormat="false" ht="18" hidden="false" customHeight="true" outlineLevel="0" collapsed="false">
      <c r="B17" s="31" t="s">
        <v>183</v>
      </c>
      <c r="C17" s="32" t="n">
        <f aca="false">SUM(C6:C15)</f>
        <v>0</v>
      </c>
      <c r="D17" s="32" t="n">
        <f aca="false">SUM(D6:D15)</f>
        <v>0</v>
      </c>
    </row>
    <row r="19" customFormat="false" ht="19.5" hidden="false" customHeight="true" outlineLevel="0" collapsed="false">
      <c r="B19" s="4" t="s">
        <v>184</v>
      </c>
      <c r="C19" s="4"/>
      <c r="D19" s="4"/>
      <c r="E19" s="4"/>
      <c r="F19" s="4"/>
    </row>
    <row r="20" customFormat="false" ht="21.75" hidden="false" customHeight="true" outlineLevel="0" collapsed="false">
      <c r="B20" s="34" t="s">
        <v>185</v>
      </c>
      <c r="C20" s="34" t="s">
        <v>186</v>
      </c>
      <c r="D20" s="34" t="s">
        <v>187</v>
      </c>
      <c r="E20" s="34" t="s">
        <v>188</v>
      </c>
      <c r="F20" s="34" t="s">
        <v>189</v>
      </c>
    </row>
    <row r="21" customFormat="false" ht="15.75" hidden="false" customHeight="true" outlineLevel="0" collapsed="false">
      <c r="B21" s="19" t="s">
        <v>190</v>
      </c>
      <c r="C21" s="53" t="n">
        <f aca="false">C17</f>
        <v>0</v>
      </c>
      <c r="D21" s="54" t="s">
        <v>191</v>
      </c>
      <c r="E21" s="48" t="n">
        <f aca="false">C21*(((1+10%/12)^12-1)/(10%/12))</f>
        <v>0</v>
      </c>
      <c r="F21" s="48" t="n">
        <f aca="false">C21*(((1+13%/12)^12-1)/(13%/12))</f>
        <v>0</v>
      </c>
    </row>
    <row r="22" customFormat="false" ht="15.75" hidden="false" customHeight="true" outlineLevel="0" collapsed="false">
      <c r="B22" s="14" t="s">
        <v>192</v>
      </c>
      <c r="C22" s="55" t="n">
        <f aca="false">C17</f>
        <v>0</v>
      </c>
      <c r="D22" s="56" t="s">
        <v>191</v>
      </c>
      <c r="E22" s="32" t="n">
        <f aca="false">C22*(((1+10%/12)^24-1)/(10%/12))</f>
        <v>0</v>
      </c>
      <c r="F22" s="32" t="n">
        <f aca="false">C22*(((1+13%/12)^24-1)/(13%/12))</f>
        <v>0</v>
      </c>
    </row>
    <row r="23" customFormat="false" ht="15.75" hidden="false" customHeight="true" outlineLevel="0" collapsed="false">
      <c r="B23" s="19" t="s">
        <v>193</v>
      </c>
      <c r="C23" s="53" t="n">
        <f aca="false">C17</f>
        <v>0</v>
      </c>
      <c r="D23" s="54" t="s">
        <v>191</v>
      </c>
      <c r="E23" s="48" t="n">
        <f aca="false">C23*(((1+10%/12)^36-1)/(10%/12))</f>
        <v>0</v>
      </c>
      <c r="F23" s="48" t="n">
        <f aca="false">C23*(((1+13%/12)^36-1)/(13%/12))</f>
        <v>0</v>
      </c>
    </row>
    <row r="24" customFormat="false" ht="15.75" hidden="false" customHeight="true" outlineLevel="0" collapsed="false">
      <c r="B24" s="14" t="s">
        <v>194</v>
      </c>
      <c r="C24" s="55" t="n">
        <f aca="false">C17</f>
        <v>0</v>
      </c>
      <c r="D24" s="56" t="s">
        <v>191</v>
      </c>
      <c r="E24" s="32" t="n">
        <f aca="false">C24*(((1+10%/12)^48-1)/(10%/12))</f>
        <v>0</v>
      </c>
      <c r="F24" s="32" t="n">
        <f aca="false">C24*(((1+13%/12)^48-1)/(13%/12))</f>
        <v>0</v>
      </c>
    </row>
    <row r="25" customFormat="false" ht="15.75" hidden="false" customHeight="true" outlineLevel="0" collapsed="false">
      <c r="B25" s="19" t="s">
        <v>195</v>
      </c>
      <c r="C25" s="53" t="n">
        <f aca="false">C17</f>
        <v>0</v>
      </c>
      <c r="D25" s="54" t="s">
        <v>191</v>
      </c>
      <c r="E25" s="48" t="n">
        <f aca="false">C25*(((1+10%/12)^60-1)/(10%/12))</f>
        <v>0</v>
      </c>
      <c r="F25" s="48" t="n">
        <f aca="false">C25*(((1+13%/12)^60-1)/(13%/12))</f>
        <v>0</v>
      </c>
    </row>
    <row r="26" customFormat="false" ht="15.75" hidden="false" customHeight="true" outlineLevel="0" collapsed="false">
      <c r="B26" s="14" t="s">
        <v>196</v>
      </c>
      <c r="C26" s="55" t="n">
        <f aca="false">C17</f>
        <v>0</v>
      </c>
      <c r="D26" s="56" t="s">
        <v>191</v>
      </c>
      <c r="E26" s="32" t="n">
        <f aca="false">C26*(((1+10%/12)^72-1)/(10%/12))</f>
        <v>0</v>
      </c>
      <c r="F26" s="32" t="n">
        <f aca="false">C26*(((1+13%/12)^72-1)/(13%/12))</f>
        <v>0</v>
      </c>
    </row>
    <row r="27" customFormat="false" ht="15.75" hidden="false" customHeight="true" outlineLevel="0" collapsed="false">
      <c r="B27" s="19" t="s">
        <v>197</v>
      </c>
      <c r="C27" s="53" t="n">
        <f aca="false">C17</f>
        <v>0</v>
      </c>
      <c r="D27" s="54" t="s">
        <v>191</v>
      </c>
      <c r="E27" s="48" t="n">
        <f aca="false">C27*(((1+10%/12)^84-1)/(10%/12))</f>
        <v>0</v>
      </c>
      <c r="F27" s="48" t="n">
        <f aca="false">C27*(((1+13%/12)^84-1)/(13%/12))</f>
        <v>0</v>
      </c>
    </row>
    <row r="28" customFormat="false" ht="15.75" hidden="false" customHeight="true" outlineLevel="0" collapsed="false">
      <c r="B28" s="14" t="s">
        <v>198</v>
      </c>
      <c r="C28" s="55" t="n">
        <f aca="false">C17</f>
        <v>0</v>
      </c>
      <c r="D28" s="56" t="s">
        <v>191</v>
      </c>
      <c r="E28" s="32" t="n">
        <f aca="false">C28*(((1+10%/12)^96-1)/(10%/12))</f>
        <v>0</v>
      </c>
      <c r="F28" s="32" t="n">
        <f aca="false">C28*(((1+13%/12)^96-1)/(13%/12))</f>
        <v>0</v>
      </c>
    </row>
    <row r="29" customFormat="false" ht="15.75" hidden="false" customHeight="true" outlineLevel="0" collapsed="false">
      <c r="B29" s="19" t="s">
        <v>199</v>
      </c>
      <c r="C29" s="53" t="n">
        <f aca="false">C17</f>
        <v>0</v>
      </c>
      <c r="D29" s="54" t="s">
        <v>191</v>
      </c>
      <c r="E29" s="48" t="n">
        <f aca="false">C29*(((1+10%/12)^108-1)/(10%/12))</f>
        <v>0</v>
      </c>
      <c r="F29" s="48" t="n">
        <f aca="false">C29*(((1+13%/12)^108-1)/(13%/12))</f>
        <v>0</v>
      </c>
    </row>
    <row r="30" customFormat="false" ht="15.75" hidden="false" customHeight="true" outlineLevel="0" collapsed="false">
      <c r="B30" s="14" t="s">
        <v>200</v>
      </c>
      <c r="C30" s="55" t="n">
        <f aca="false">C17</f>
        <v>0</v>
      </c>
      <c r="D30" s="56" t="s">
        <v>191</v>
      </c>
      <c r="E30" s="32" t="n">
        <f aca="false">C30*(((1+10%/12)^120-1)/(10%/12))</f>
        <v>0</v>
      </c>
      <c r="F30" s="32" t="n">
        <f aca="false">C30*(((1+13%/12)^120-1)/(13%/12))</f>
        <v>0</v>
      </c>
    </row>
  </sheetData>
  <mergeCells count="5">
    <mergeCell ref="B2:F2"/>
    <mergeCell ref="B5:F5"/>
    <mergeCell ref="B7:F7"/>
    <mergeCell ref="B12:F12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20"/>
    <col collapsed="false" customWidth="true" hidden="false" outlineLevel="0" max="5" min="5" style="1" width="3"/>
  </cols>
  <sheetData>
    <row r="2" customFormat="false" ht="31.5" hidden="false" customHeight="true" outlineLevel="0" collapsed="false">
      <c r="B2" s="26" t="s">
        <v>201</v>
      </c>
      <c r="C2" s="26"/>
      <c r="D2" s="26"/>
    </row>
    <row r="4" customFormat="false" ht="19.5" hidden="false" customHeight="true" outlineLevel="0" collapsed="false">
      <c r="B4" s="4" t="s">
        <v>202</v>
      </c>
      <c r="C4" s="4"/>
      <c r="D4" s="4"/>
    </row>
    <row r="5" customFormat="false" ht="18" hidden="false" customHeight="true" outlineLevel="0" collapsed="false">
      <c r="B5" s="31" t="s">
        <v>203</v>
      </c>
      <c r="C5" s="57" t="n">
        <f aca="false">'⚙️ Inputs'!C8</f>
        <v>30</v>
      </c>
    </row>
    <row r="6" customFormat="false" ht="18" hidden="false" customHeight="true" outlineLevel="0" collapsed="false">
      <c r="B6" s="6" t="s">
        <v>204</v>
      </c>
      <c r="C6" s="30" t="n">
        <v>60</v>
      </c>
    </row>
    <row r="7" customFormat="false" ht="18" hidden="false" customHeight="true" outlineLevel="0" collapsed="false">
      <c r="B7" s="31" t="s">
        <v>205</v>
      </c>
      <c r="C7" s="57" t="n">
        <f aca="false">C6-C5</f>
        <v>30</v>
      </c>
    </row>
    <row r="8" customFormat="false" ht="18" hidden="false" customHeight="true" outlineLevel="0" collapsed="false">
      <c r="B8" s="31" t="s">
        <v>206</v>
      </c>
      <c r="C8" s="32" t="n">
        <f aca="false">'⚙️ Inputs'!C20</f>
        <v>50000</v>
      </c>
    </row>
    <row r="9" customFormat="false" ht="18" hidden="false" customHeight="true" outlineLevel="0" collapsed="false">
      <c r="B9" s="6" t="s">
        <v>207</v>
      </c>
      <c r="C9" s="33" t="n">
        <v>0.06</v>
      </c>
    </row>
    <row r="10" customFormat="false" ht="18" hidden="false" customHeight="true" outlineLevel="0" collapsed="false">
      <c r="B10" s="6" t="s">
        <v>208</v>
      </c>
      <c r="C10" s="33" t="n">
        <v>0.12</v>
      </c>
    </row>
    <row r="11" customFormat="false" ht="18" hidden="false" customHeight="true" outlineLevel="0" collapsed="false">
      <c r="B11" s="6" t="s">
        <v>209</v>
      </c>
      <c r="C11" s="33" t="n">
        <v>0.04</v>
      </c>
    </row>
    <row r="13" customFormat="false" ht="19.5" hidden="false" customHeight="true" outlineLevel="0" collapsed="false">
      <c r="B13" s="4" t="s">
        <v>210</v>
      </c>
      <c r="C13" s="4"/>
      <c r="D13" s="4"/>
    </row>
    <row r="14" customFormat="false" ht="23.25" hidden="false" customHeight="true" outlineLevel="0" collapsed="false">
      <c r="B14" s="6" t="s">
        <v>211</v>
      </c>
      <c r="C14" s="32" t="n">
        <f aca="false">C8*(1+C9)^C7</f>
        <v>287174.558645663</v>
      </c>
    </row>
    <row r="15" customFormat="false" ht="15" hidden="false" customHeight="true" outlineLevel="0" collapsed="false">
      <c r="B15" s="6" t="s">
        <v>212</v>
      </c>
      <c r="C15" s="32" t="n">
        <f aca="false">C14*12</f>
        <v>3446094.70374796</v>
      </c>
    </row>
    <row r="16" customFormat="false" ht="15" hidden="false" customHeight="true" outlineLevel="0" collapsed="false">
      <c r="B16" s="6" t="s">
        <v>213</v>
      </c>
      <c r="C16" s="58" t="n">
        <f aca="false">C15/C10</f>
        <v>28717455.8645663</v>
      </c>
    </row>
    <row r="18" customFormat="false" ht="19.5" hidden="false" customHeight="true" outlineLevel="0" collapsed="false">
      <c r="B18" s="4" t="s">
        <v>214</v>
      </c>
      <c r="C18" s="4"/>
      <c r="D18" s="4"/>
    </row>
    <row r="19" customFormat="false" ht="15" hidden="false" customHeight="true" outlineLevel="0" collapsed="false">
      <c r="B19" s="6" t="s">
        <v>215</v>
      </c>
      <c r="C19" s="10" t="n">
        <f aca="false">'⚙️ Inputs'!C31</f>
        <v>130000</v>
      </c>
    </row>
    <row r="20" customFormat="false" ht="23.25" hidden="false" customHeight="true" outlineLevel="0" collapsed="false">
      <c r="B20" s="6" t="s">
        <v>216</v>
      </c>
      <c r="C20" s="32" t="n">
        <f aca="false">C19*(1+C11)^C7</f>
        <v>421641.67630358</v>
      </c>
    </row>
    <row r="21" customFormat="false" ht="15" hidden="false" customHeight="true" outlineLevel="0" collapsed="false">
      <c r="B21" s="6" t="s">
        <v>217</v>
      </c>
      <c r="C21" s="59" t="n">
        <f aca="false">MAX(0,C16-C20)</f>
        <v>28295814.1882627</v>
      </c>
    </row>
    <row r="22" customFormat="false" ht="15" hidden="false" customHeight="true" outlineLevel="0" collapsed="false">
      <c r="B22" s="6" t="s">
        <v>218</v>
      </c>
      <c r="C22" s="60" t="n">
        <f aca="false">IF(C7&gt;0,C21*(C11/12)/((1+C11/12)^(C7*12)-1),0)</f>
        <v>40769.1642837079</v>
      </c>
    </row>
    <row r="23" customFormat="false" ht="15" hidden="false" customHeight="true" outlineLevel="0" collapsed="false">
      <c r="B23" s="6" t="s">
        <v>219</v>
      </c>
      <c r="C23" s="10" t="n">
        <f aca="false">'💼 Investments'!C17</f>
        <v>0</v>
      </c>
    </row>
    <row r="24" customFormat="false" ht="15" hidden="false" customHeight="true" outlineLevel="0" collapsed="false">
      <c r="B24" s="6" t="s">
        <v>220</v>
      </c>
      <c r="C24" s="61" t="n">
        <f aca="false">MAX(0,C22-C23)</f>
        <v>40769.1642837079</v>
      </c>
    </row>
    <row r="26" customFormat="false" ht="19.5" hidden="false" customHeight="true" outlineLevel="0" collapsed="false">
      <c r="B26" s="4" t="s">
        <v>221</v>
      </c>
      <c r="C26" s="4"/>
      <c r="D26" s="4"/>
    </row>
    <row r="27" customFormat="false" ht="21.75" hidden="false" customHeight="true" outlineLevel="0" collapsed="false">
      <c r="B27" s="5" t="s">
        <v>222</v>
      </c>
      <c r="C27" s="5" t="s">
        <v>223</v>
      </c>
      <c r="D27" s="5" t="s">
        <v>224</v>
      </c>
    </row>
    <row r="28" customFormat="false" ht="16.5" hidden="false" customHeight="true" outlineLevel="0" collapsed="false">
      <c r="B28" s="62" t="n">
        <f aca="false">C5+5</f>
        <v>35</v>
      </c>
      <c r="C28" s="32" t="n">
        <f aca="false">C19*(1+C11)^5+C23*(((1+C11/12)^60-1)/(C11/12))</f>
        <v>158164.877312</v>
      </c>
      <c r="D28" s="32" t="n">
        <f aca="false">C8*(1+C9)^5*12*25/C10</f>
        <v>167278197.2</v>
      </c>
    </row>
    <row r="29" customFormat="false" ht="16.5" hidden="false" customHeight="true" outlineLevel="0" collapsed="false">
      <c r="B29" s="63" t="n">
        <f aca="false">C5+10</f>
        <v>40</v>
      </c>
      <c r="C29" s="48" t="n">
        <f aca="false">C19*(1+C11)^10+C23*(((1+C11/12)^120-1)/(C11/12))</f>
        <v>192431.757039385</v>
      </c>
      <c r="D29" s="48" t="n">
        <f aca="false">C8*(1+C9)^10*12*25/C10</f>
        <v>223855962.067857</v>
      </c>
    </row>
    <row r="30" customFormat="false" ht="16.5" hidden="false" customHeight="true" outlineLevel="0" collapsed="false">
      <c r="B30" s="62" t="n">
        <f aca="false">C5+15</f>
        <v>45</v>
      </c>
      <c r="C30" s="32" t="n">
        <f aca="false">C19*(1+C11)^15+C23*(((1+C11/12)^180-1)/(C11/12))</f>
        <v>234122.655715899</v>
      </c>
      <c r="D30" s="32" t="n">
        <f aca="false">C8*(1+C9)^15*12*25/C10</f>
        <v>299569774.137461</v>
      </c>
    </row>
    <row r="31" customFormat="false" ht="16.5" hidden="false" customHeight="true" outlineLevel="0" collapsed="false">
      <c r="B31" s="63" t="n">
        <f aca="false">C5+20</f>
        <v>50</v>
      </c>
      <c r="C31" s="48" t="n">
        <f aca="false">C19*(1+C11)^20+C23*(((1+C11/12)^240-1)/(C11/12))</f>
        <v>284846.008594345</v>
      </c>
      <c r="D31" s="48" t="n">
        <f aca="false">C8*(1+C9)^20*12*25/C10</f>
        <v>400891934.026606</v>
      </c>
    </row>
    <row r="32" customFormat="false" ht="16.5" hidden="false" customHeight="true" outlineLevel="0" collapsed="false">
      <c r="B32" s="62" t="n">
        <f aca="false">C5+25</f>
        <v>55</v>
      </c>
      <c r="C32" s="32" t="n">
        <f aca="false">C19*(1+C11)^25+C23*(((1+C11/12)^300-1)/(C11/12))</f>
        <v>346558.723093365</v>
      </c>
      <c r="D32" s="32" t="n">
        <f aca="false">C8*(1+C9)^25*12*25/C10</f>
        <v>536483839.967936</v>
      </c>
    </row>
  </sheetData>
  <mergeCells count="5">
    <mergeCell ref="B2:D2"/>
    <mergeCell ref="B4:D4"/>
    <mergeCell ref="B13:D13"/>
    <mergeCell ref="B18:D18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6" min="3" style="1" width="18"/>
    <col collapsed="false" customWidth="true" hidden="false" outlineLevel="0" max="7" min="7" style="1" width="3"/>
  </cols>
  <sheetData>
    <row r="2" customFormat="false" ht="31.5" hidden="false" customHeight="true" outlineLevel="0" collapsed="false">
      <c r="B2" s="26" t="s">
        <v>225</v>
      </c>
      <c r="C2" s="26"/>
      <c r="D2" s="26"/>
      <c r="E2" s="26"/>
      <c r="F2" s="26"/>
    </row>
    <row r="4" customFormat="false" ht="19.5" hidden="false" customHeight="true" outlineLevel="0" collapsed="false">
      <c r="B4" s="4" t="s">
        <v>226</v>
      </c>
      <c r="C4" s="4"/>
      <c r="D4" s="4"/>
      <c r="E4" s="4"/>
      <c r="F4" s="4"/>
    </row>
    <row r="5" customFormat="false" ht="18" hidden="false" customHeight="true" outlineLevel="0" collapsed="false">
      <c r="B5" s="31" t="s">
        <v>78</v>
      </c>
      <c r="C5" s="57" t="n">
        <f aca="false">'⚙️ Inputs'!C41</f>
        <v>0</v>
      </c>
    </row>
    <row r="6" customFormat="false" ht="18" hidden="false" customHeight="true" outlineLevel="0" collapsed="false">
      <c r="B6" s="31" t="s">
        <v>227</v>
      </c>
      <c r="C6" s="32" t="n">
        <f aca="false">'⚙️ Inputs'!C42</f>
        <v>0</v>
      </c>
    </row>
    <row r="7" customFormat="false" ht="18" hidden="false" customHeight="true" outlineLevel="0" collapsed="false">
      <c r="B7" s="31" t="s">
        <v>228</v>
      </c>
      <c r="C7" s="32" t="n">
        <f aca="false">'⚙️ Inputs'!C43</f>
        <v>0</v>
      </c>
    </row>
    <row r="8" customFormat="false" ht="18" hidden="false" customHeight="true" outlineLevel="0" collapsed="false">
      <c r="B8" s="6" t="s">
        <v>229</v>
      </c>
      <c r="C8" s="33" t="n">
        <v>0.3</v>
      </c>
    </row>
    <row r="9" customFormat="false" ht="18" hidden="false" customHeight="true" outlineLevel="0" collapsed="false">
      <c r="B9" s="6" t="s">
        <v>230</v>
      </c>
      <c r="C9" s="30" t="n">
        <v>24</v>
      </c>
    </row>
    <row r="11" customFormat="false" ht="19.5" hidden="false" customHeight="true" outlineLevel="0" collapsed="false">
      <c r="B11" s="43" t="s">
        <v>231</v>
      </c>
      <c r="C11" s="43"/>
      <c r="D11" s="43"/>
      <c r="E11" s="43"/>
      <c r="F11" s="43"/>
    </row>
    <row r="12" customFormat="false" ht="23.25" hidden="false" customHeight="true" outlineLevel="0" collapsed="false">
      <c r="B12" s="6" t="s">
        <v>232</v>
      </c>
      <c r="C12" s="7" t="n">
        <f aca="false">MAX(0,C7-C6)</f>
        <v>0</v>
      </c>
    </row>
    <row r="13" customFormat="false" ht="15" hidden="false" customHeight="true" outlineLevel="0" collapsed="false">
      <c r="B13" s="6" t="s">
        <v>233</v>
      </c>
      <c r="C13" s="7" t="n">
        <f aca="false">C12*C5</f>
        <v>0</v>
      </c>
    </row>
    <row r="14" customFormat="false" ht="15" hidden="false" customHeight="true" outlineLevel="0" collapsed="false">
      <c r="B14" s="6" t="s">
        <v>234</v>
      </c>
      <c r="C14" s="59" t="n">
        <f aca="false">C13*C8</f>
        <v>0</v>
      </c>
    </row>
    <row r="15" customFormat="false" ht="15" hidden="false" customHeight="true" outlineLevel="0" collapsed="false">
      <c r="B15" s="6" t="s">
        <v>235</v>
      </c>
      <c r="C15" s="32" t="n">
        <f aca="false">C13-C14</f>
        <v>0</v>
      </c>
    </row>
    <row r="17" customFormat="false" ht="19.5" hidden="false" customHeight="true" outlineLevel="0" collapsed="false">
      <c r="B17" s="4" t="s">
        <v>236</v>
      </c>
      <c r="C17" s="4"/>
      <c r="D17" s="4"/>
      <c r="E17" s="4"/>
      <c r="F17" s="4"/>
    </row>
    <row r="18" customFormat="false" ht="21.75" hidden="false" customHeight="true" outlineLevel="0" collapsed="false">
      <c r="B18" s="34" t="s">
        <v>237</v>
      </c>
      <c r="C18" s="34" t="s">
        <v>238</v>
      </c>
      <c r="D18" s="34" t="s">
        <v>239</v>
      </c>
      <c r="E18" s="34" t="s">
        <v>240</v>
      </c>
      <c r="F18" s="34" t="s">
        <v>241</v>
      </c>
    </row>
    <row r="19" customFormat="false" ht="18" hidden="false" customHeight="true" outlineLevel="0" collapsed="false">
      <c r="B19" s="29" t="n">
        <v>5000000</v>
      </c>
      <c r="C19" s="64" t="n">
        <f aca="false">'⚙️ Inputs'!C40</f>
        <v>0.5</v>
      </c>
      <c r="D19" s="32" t="n">
        <f aca="false">B19*C19</f>
        <v>2500000</v>
      </c>
      <c r="E19" s="65" t="n">
        <f aca="false">D19*0.2</f>
        <v>500000</v>
      </c>
      <c r="F19" s="32" t="n">
        <f aca="false">D19-E19</f>
        <v>2000000</v>
      </c>
    </row>
    <row r="20" customFormat="false" ht="18" hidden="false" customHeight="true" outlineLevel="0" collapsed="false">
      <c r="B20" s="29" t="n">
        <v>25000000</v>
      </c>
      <c r="C20" s="66" t="n">
        <f aca="false">'⚙️ Inputs'!C40</f>
        <v>0.5</v>
      </c>
      <c r="D20" s="48" t="n">
        <f aca="false">B20*C20</f>
        <v>12500000</v>
      </c>
      <c r="E20" s="67" t="n">
        <f aca="false">D20*0.2</f>
        <v>2500000</v>
      </c>
      <c r="F20" s="48" t="n">
        <f aca="false">D20-E20</f>
        <v>10000000</v>
      </c>
    </row>
    <row r="21" customFormat="false" ht="18" hidden="false" customHeight="true" outlineLevel="0" collapsed="false">
      <c r="B21" s="29" t="n">
        <v>100000000</v>
      </c>
      <c r="C21" s="64" t="n">
        <f aca="false">'⚙️ Inputs'!C40</f>
        <v>0.5</v>
      </c>
      <c r="D21" s="32" t="n">
        <f aca="false">B21*C21</f>
        <v>50000000</v>
      </c>
      <c r="E21" s="65" t="n">
        <f aca="false">D21*0.2</f>
        <v>10000000</v>
      </c>
      <c r="F21" s="32" t="n">
        <f aca="false">D21-E21</f>
        <v>40000000</v>
      </c>
    </row>
    <row r="22" customFormat="false" ht="18" hidden="false" customHeight="true" outlineLevel="0" collapsed="false">
      <c r="B22" s="29" t="n">
        <v>500000000</v>
      </c>
      <c r="C22" s="66" t="n">
        <f aca="false">'⚙️ Inputs'!C40</f>
        <v>0.5</v>
      </c>
      <c r="D22" s="48" t="n">
        <f aca="false">B22*C22</f>
        <v>250000000</v>
      </c>
      <c r="E22" s="67" t="n">
        <f aca="false">D22*0.2</f>
        <v>50000000</v>
      </c>
      <c r="F22" s="48" t="n">
        <f aca="false">D22-E22</f>
        <v>200000000</v>
      </c>
    </row>
    <row r="23" customFormat="false" ht="18" hidden="false" customHeight="true" outlineLevel="0" collapsed="false">
      <c r="B23" s="29" t="n">
        <v>1000000000</v>
      </c>
      <c r="C23" s="64" t="n">
        <f aca="false">'⚙️ Inputs'!C40</f>
        <v>0.5</v>
      </c>
      <c r="D23" s="32" t="n">
        <f aca="false">B23*C23</f>
        <v>500000000</v>
      </c>
      <c r="E23" s="65" t="n">
        <f aca="false">D23*0.2</f>
        <v>100000000</v>
      </c>
      <c r="F23" s="32" t="n">
        <f aca="false">D23-E23</f>
        <v>400000000</v>
      </c>
    </row>
    <row r="24" customFormat="false" ht="18" hidden="false" customHeight="true" outlineLevel="0" collapsed="false">
      <c r="B24" s="29" t="n">
        <v>0</v>
      </c>
      <c r="C24" s="66" t="n">
        <f aca="false">'⚙️ Inputs'!C40</f>
        <v>0.5</v>
      </c>
      <c r="D24" s="48" t="n">
        <f aca="false">B24*C24</f>
        <v>0</v>
      </c>
      <c r="E24" s="67" t="n">
        <f aca="false">D24*0.2</f>
        <v>0</v>
      </c>
      <c r="F24" s="48" t="n">
        <f aca="false">D24-E24</f>
        <v>0</v>
      </c>
    </row>
    <row r="26" customFormat="false" ht="30" hidden="false" customHeight="true" outlineLevel="0" collapsed="false">
      <c r="B26" s="68" t="s">
        <v>242</v>
      </c>
      <c r="C26" s="68"/>
      <c r="D26" s="68"/>
      <c r="E26" s="68"/>
      <c r="F26" s="68"/>
    </row>
  </sheetData>
  <mergeCells count="5">
    <mergeCell ref="B2:F2"/>
    <mergeCell ref="B4:F4"/>
    <mergeCell ref="B11:F11"/>
    <mergeCell ref="B17:F17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24"/>
    <col collapsed="false" customWidth="true" hidden="false" outlineLevel="0" max="7" min="7" style="1" width="3"/>
  </cols>
  <sheetData>
    <row r="2" customFormat="false" ht="31.5" hidden="false" customHeight="true" outlineLevel="0" collapsed="false">
      <c r="B2" s="26" t="s">
        <v>243</v>
      </c>
      <c r="C2" s="26"/>
      <c r="D2" s="26"/>
      <c r="E2" s="26"/>
      <c r="F2" s="26"/>
    </row>
    <row r="4" customFormat="false" ht="21.75" hidden="false" customHeight="true" outlineLevel="0" collapsed="false">
      <c r="B4" s="5" t="s">
        <v>244</v>
      </c>
      <c r="C4" s="5" t="s">
        <v>245</v>
      </c>
      <c r="D4" s="5" t="s">
        <v>246</v>
      </c>
      <c r="E4" s="5" t="s">
        <v>25</v>
      </c>
      <c r="F4" s="5" t="s">
        <v>247</v>
      </c>
    </row>
    <row r="5" customFormat="false" ht="24.75" hidden="false" customHeight="true" outlineLevel="0" collapsed="false">
      <c r="B5" s="69" t="s">
        <v>248</v>
      </c>
      <c r="C5" s="32" t="n">
        <f aca="false">IF('⚙️ Inputs'!C9="Bengaluru",1500000,IF('⚙️ Inputs'!C9="Mumbai",2000000,1000000))</f>
        <v>1500000</v>
      </c>
      <c r="D5" s="55" t="n">
        <f aca="false">'⚙️ Inputs'!C34</f>
        <v>0</v>
      </c>
      <c r="E5" s="65" t="n">
        <f aca="false">MAX(0,C5-D5)</f>
        <v>1500000</v>
      </c>
      <c r="F5" s="70" t="str">
        <f aca="false">IF(D5=0,"🔴 BUY NOW — Niva Bupa / Care Health",IF(D5&lt;C5,"🟡 Increase cover","✅ OK"))</f>
        <v>🔴 BUY NOW — Niva Bupa / Care Health</v>
      </c>
    </row>
    <row r="6" customFormat="false" ht="24.75" hidden="false" customHeight="true" outlineLevel="0" collapsed="false">
      <c r="B6" s="71" t="s">
        <v>249</v>
      </c>
      <c r="C6" s="48" t="n">
        <f aca="false">MAX(10000000,'⚙️ Inputs'!C7*12*15)</f>
        <v>14400000</v>
      </c>
      <c r="D6" s="53" t="n">
        <f aca="false">'⚙️ Inputs'!C35</f>
        <v>0</v>
      </c>
      <c r="E6" s="67" t="n">
        <f aca="false">MAX(0,C6-D6)</f>
        <v>14400000</v>
      </c>
      <c r="F6" s="72" t="str">
        <f aca="false">IF(D6=0,"🔴 BUY NOW — HDFC Click 2 Protect",IF(D6&lt;C6,"🟡 Increase cover","✅ OK"))</f>
        <v>🔴 BUY NOW — HDFC Click 2 Protect</v>
      </c>
    </row>
    <row r="7" customFormat="false" ht="24.75" hidden="false" customHeight="true" outlineLevel="0" collapsed="false">
      <c r="B7" s="69" t="s">
        <v>250</v>
      </c>
      <c r="C7" s="32" t="s">
        <v>251</v>
      </c>
      <c r="D7" s="73" t="n">
        <v>0</v>
      </c>
      <c r="E7" s="65" t="n">
        <f aca="false">MAX(0,C7-D7)</f>
        <v>5000000</v>
      </c>
      <c r="F7" s="70" t="str">
        <f aca="false">IF(D7=0,"🟡 Consider buying — ~₹3,000/yr","✅ OK")</f>
        <v>🟡 Consider buying — ~₹3,000/yr</v>
      </c>
    </row>
    <row r="8" customFormat="false" ht="24.75" hidden="false" customHeight="true" outlineLevel="0" collapsed="false">
      <c r="B8" s="71" t="s">
        <v>252</v>
      </c>
      <c r="C8" s="48" t="s">
        <v>253</v>
      </c>
      <c r="D8" s="74" t="n">
        <v>0</v>
      </c>
      <c r="E8" s="67" t="n">
        <f aca="false">MAX(0,C8-D8)</f>
        <v>2500000</v>
      </c>
      <c r="F8" s="72" t="str">
        <f aca="false">IF(D8=0,"🟡 Consider if 35+ or family history","✅ OK")</f>
        <v>🟡 Consider if 35+ or family history</v>
      </c>
    </row>
    <row r="10" customFormat="false" ht="19.5" hidden="false" customHeight="true" outlineLevel="0" collapsed="false">
      <c r="B10" s="43" t="s">
        <v>254</v>
      </c>
      <c r="C10" s="43"/>
      <c r="D10" s="43"/>
      <c r="E10" s="43"/>
      <c r="F10" s="43"/>
    </row>
    <row r="11" customFormat="false" ht="21.75" hidden="false" customHeight="true" outlineLevel="0" collapsed="false">
      <c r="B11" s="75" t="s">
        <v>255</v>
      </c>
      <c r="C11" s="75" t="s">
        <v>256</v>
      </c>
      <c r="D11" s="75" t="s">
        <v>257</v>
      </c>
      <c r="E11" s="75" t="s">
        <v>258</v>
      </c>
      <c r="F11" s="75" t="s">
        <v>259</v>
      </c>
    </row>
    <row r="12" customFormat="false" ht="16.5" hidden="false" customHeight="true" outlineLevel="0" collapsed="false">
      <c r="B12" s="76" t="s">
        <v>260</v>
      </c>
      <c r="C12" s="49" t="s">
        <v>261</v>
      </c>
      <c r="D12" s="49" t="s">
        <v>262</v>
      </c>
      <c r="E12" s="49" t="s">
        <v>263</v>
      </c>
      <c r="F12" s="49" t="s">
        <v>264</v>
      </c>
    </row>
    <row r="13" customFormat="false" ht="16.5" hidden="false" customHeight="true" outlineLevel="0" collapsed="false">
      <c r="B13" s="77" t="s">
        <v>260</v>
      </c>
      <c r="C13" s="50" t="s">
        <v>265</v>
      </c>
      <c r="D13" s="50" t="s">
        <v>262</v>
      </c>
      <c r="E13" s="50" t="s">
        <v>266</v>
      </c>
      <c r="F13" s="50" t="s">
        <v>264</v>
      </c>
    </row>
    <row r="14" customFormat="false" ht="16.5" hidden="false" customHeight="true" outlineLevel="0" collapsed="false">
      <c r="B14" s="76" t="s">
        <v>267</v>
      </c>
      <c r="C14" s="49" t="s">
        <v>268</v>
      </c>
      <c r="D14" s="49" t="s">
        <v>269</v>
      </c>
      <c r="E14" s="49" t="s">
        <v>270</v>
      </c>
      <c r="F14" s="49" t="s">
        <v>271</v>
      </c>
    </row>
    <row r="15" customFormat="false" ht="16.5" hidden="false" customHeight="true" outlineLevel="0" collapsed="false">
      <c r="B15" s="77" t="s">
        <v>267</v>
      </c>
      <c r="C15" s="50" t="s">
        <v>272</v>
      </c>
      <c r="D15" s="50" t="s">
        <v>269</v>
      </c>
      <c r="E15" s="50" t="s">
        <v>273</v>
      </c>
      <c r="F15" s="50" t="s">
        <v>271</v>
      </c>
    </row>
    <row r="16" customFormat="false" ht="16.5" hidden="false" customHeight="true" outlineLevel="0" collapsed="false">
      <c r="B16" s="76" t="s">
        <v>250</v>
      </c>
      <c r="C16" s="49" t="s">
        <v>274</v>
      </c>
      <c r="D16" s="49" t="s">
        <v>275</v>
      </c>
      <c r="E16" s="49" t="s">
        <v>276</v>
      </c>
      <c r="F16" s="49" t="s">
        <v>277</v>
      </c>
    </row>
  </sheetData>
  <mergeCells count="2">
    <mergeCell ref="B2:F2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"/>
  </cols>
  <sheetData>
    <row r="2" customFormat="false" ht="31.5" hidden="false" customHeight="true" outlineLevel="0" collapsed="false">
      <c r="B2" s="26" t="s">
        <v>278</v>
      </c>
      <c r="C2" s="26"/>
      <c r="D2" s="26"/>
      <c r="E2" s="26"/>
      <c r="F2" s="26"/>
    </row>
    <row r="4" customFormat="false" ht="21.75" hidden="false" customHeight="true" outlineLevel="0" collapsed="false">
      <c r="B4" s="5" t="s">
        <v>279</v>
      </c>
      <c r="C4" s="5" t="s">
        <v>280</v>
      </c>
      <c r="D4" s="5" t="s">
        <v>281</v>
      </c>
      <c r="E4" s="5" t="s">
        <v>282</v>
      </c>
      <c r="F4" s="5" t="s">
        <v>283</v>
      </c>
    </row>
    <row r="5" customFormat="false" ht="19.5" hidden="false" customHeight="true" outlineLevel="0" collapsed="false">
      <c r="B5" s="4" t="s">
        <v>284</v>
      </c>
      <c r="C5" s="4"/>
      <c r="D5" s="4"/>
      <c r="E5" s="4"/>
      <c r="F5" s="4"/>
    </row>
    <row r="6" customFormat="false" ht="19.5" hidden="false" customHeight="true" outlineLevel="0" collapsed="false">
      <c r="B6" s="23" t="s">
        <v>285</v>
      </c>
      <c r="C6" s="23"/>
      <c r="D6" s="23"/>
      <c r="E6" s="23"/>
      <c r="F6" s="23"/>
    </row>
    <row r="7" customFormat="false" ht="19.5" hidden="false" customHeight="true" outlineLevel="0" collapsed="false">
      <c r="B7" s="23" t="s">
        <v>285</v>
      </c>
      <c r="C7" s="23"/>
      <c r="D7" s="23"/>
      <c r="E7" s="23"/>
      <c r="F7" s="23"/>
    </row>
    <row r="8" customFormat="false" ht="19.5" hidden="false" customHeight="true" outlineLevel="0" collapsed="false">
      <c r="B8" s="23" t="s">
        <v>285</v>
      </c>
      <c r="C8" s="23"/>
      <c r="D8" s="23"/>
      <c r="E8" s="23"/>
      <c r="F8" s="23"/>
    </row>
    <row r="9" customFormat="false" ht="19.5" hidden="false" customHeight="true" outlineLevel="0" collapsed="false">
      <c r="B9" s="23" t="s">
        <v>286</v>
      </c>
      <c r="C9" s="23"/>
      <c r="D9" s="23"/>
      <c r="E9" s="23"/>
      <c r="F9" s="23"/>
    </row>
    <row r="10" customFormat="false" ht="19.5" hidden="false" customHeight="true" outlineLevel="0" collapsed="false">
      <c r="B10" s="23" t="s">
        <v>285</v>
      </c>
      <c r="C10" s="23"/>
      <c r="D10" s="23"/>
      <c r="E10" s="23"/>
      <c r="F10" s="23"/>
    </row>
    <row r="11" customFormat="false" ht="19.5" hidden="false" customHeight="true" outlineLevel="0" collapsed="false">
      <c r="B11" s="23" t="s">
        <v>285</v>
      </c>
      <c r="C11" s="23"/>
      <c r="D11" s="23"/>
      <c r="E11" s="23"/>
      <c r="F11" s="23"/>
    </row>
    <row r="12" customFormat="false" ht="19.5" hidden="false" customHeight="true" outlineLevel="0" collapsed="false">
      <c r="B12" s="23" t="s">
        <v>285</v>
      </c>
      <c r="C12" s="23"/>
      <c r="D12" s="23"/>
      <c r="E12" s="23"/>
      <c r="F12" s="23"/>
    </row>
    <row r="13" customFormat="false" ht="19.5" hidden="false" customHeight="true" outlineLevel="0" collapsed="false">
      <c r="B13" s="23" t="s">
        <v>285</v>
      </c>
      <c r="C13" s="23"/>
      <c r="D13" s="23"/>
      <c r="E13" s="23"/>
      <c r="F13" s="23"/>
    </row>
    <row r="14" customFormat="false" ht="19.5" hidden="false" customHeight="true" outlineLevel="0" collapsed="false">
      <c r="B14" s="23" t="s">
        <v>287</v>
      </c>
      <c r="C14" s="23"/>
      <c r="D14" s="23"/>
      <c r="E14" s="23"/>
      <c r="F14" s="23"/>
    </row>
    <row r="15" customFormat="false" ht="19.5" hidden="false" customHeight="true" outlineLevel="0" collapsed="false">
      <c r="B15" s="23" t="s">
        <v>285</v>
      </c>
      <c r="C15" s="23"/>
      <c r="D15" s="23"/>
      <c r="E15" s="23"/>
      <c r="F15" s="23"/>
    </row>
    <row r="16" customFormat="false" ht="19.5" hidden="false" customHeight="true" outlineLevel="0" collapsed="false">
      <c r="B16" s="23" t="s">
        <v>285</v>
      </c>
      <c r="C16" s="23"/>
      <c r="D16" s="23"/>
      <c r="E16" s="23"/>
      <c r="F16" s="23"/>
    </row>
    <row r="17" customFormat="false" ht="19.5" hidden="false" customHeight="true" outlineLevel="0" collapsed="false">
      <c r="B17" s="23" t="s">
        <v>285</v>
      </c>
      <c r="C17" s="23"/>
      <c r="D17" s="23"/>
      <c r="E17" s="23"/>
      <c r="F17" s="23"/>
    </row>
    <row r="18" customFormat="false" ht="19.5" hidden="false" customHeight="true" outlineLevel="0" collapsed="false">
      <c r="B18" s="23" t="s">
        <v>285</v>
      </c>
      <c r="C18" s="23"/>
      <c r="D18" s="23"/>
      <c r="E18" s="23"/>
      <c r="F18" s="23"/>
    </row>
    <row r="19" customFormat="false" ht="19.5" hidden="false" customHeight="true" outlineLevel="0" collapsed="false">
      <c r="B19" s="23" t="s">
        <v>288</v>
      </c>
      <c r="C19" s="23"/>
      <c r="D19" s="23"/>
      <c r="E19" s="23"/>
      <c r="F19" s="23"/>
    </row>
    <row r="20" customFormat="false" ht="19.5" hidden="false" customHeight="true" outlineLevel="0" collapsed="false">
      <c r="B20" s="23" t="s">
        <v>285</v>
      </c>
      <c r="C20" s="23"/>
      <c r="D20" s="23"/>
      <c r="E20" s="23"/>
      <c r="F20" s="23"/>
    </row>
    <row r="21" customFormat="false" ht="19.5" hidden="false" customHeight="true" outlineLevel="0" collapsed="false">
      <c r="B21" s="23" t="s">
        <v>285</v>
      </c>
      <c r="C21" s="23"/>
      <c r="D21" s="23"/>
      <c r="E21" s="23"/>
      <c r="F21" s="23"/>
    </row>
    <row r="22" customFormat="false" ht="19.5" hidden="false" customHeight="true" outlineLevel="0" collapsed="false">
      <c r="B22" s="23" t="s">
        <v>285</v>
      </c>
      <c r="C22" s="23"/>
      <c r="D22" s="23"/>
      <c r="E22" s="23"/>
      <c r="F22" s="23"/>
    </row>
    <row r="23" customFormat="false" ht="19.5" hidden="false" customHeight="true" outlineLevel="0" collapsed="false">
      <c r="B23" s="23" t="s">
        <v>285</v>
      </c>
      <c r="C23" s="23"/>
      <c r="D23" s="23"/>
      <c r="E23" s="23"/>
      <c r="F23" s="23"/>
    </row>
  </sheetData>
  <mergeCells count="20">
    <mergeCell ref="B2:F2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2026-03-09T03:24:51Z</dcterms:created>
  <dc:creator>openpyxl</dc:creator>
  <dc:description/>
  <dc:language>en-US</dc:language>
  <cp:lastModifiedBy/>
  <dcterms:modified xsi:type="dcterms:W3CDTF">2026-03-09T03:25:24Z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